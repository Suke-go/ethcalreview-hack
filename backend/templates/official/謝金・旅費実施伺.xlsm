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SynologyNAS\差引簿\16_研究支援グループ\研究支援共有★\14 倫理委員会\倫理委員会様式\様式一式R3.7～★\"/>
    </mc:Choice>
  </mc:AlternateContent>
  <xr:revisionPtr revIDLastSave="0" documentId="8_{0147FA18-4328-44F6-B66F-F5262C36B3D1}" xr6:coauthVersionLast="47" xr6:coauthVersionMax="47" xr10:uidLastSave="{00000000-0000-0000-0000-000000000000}"/>
  <bookViews>
    <workbookView xWindow="3945" yWindow="1200" windowWidth="23640" windowHeight="13740" xr2:uid="{00000000-000D-0000-FFFF-FFFF00000000}"/>
  </bookViews>
  <sheets>
    <sheet name="謝金・旅費実施伺" sheetId="20" r:id="rId1"/>
    <sheet name="謝金単価表" sheetId="21" r:id="rId2"/>
    <sheet name="DB（変更しない）" sheetId="22" r:id="rId3"/>
    <sheet name="【記入例】謝金のみ" sheetId="33" r:id="rId4"/>
    <sheet name="【記入例】謝金＋旅費" sheetId="34" r:id="rId5"/>
  </sheets>
  <definedNames>
    <definedName name="_xlnm.Print_Area" localSheetId="4">'【記入例】謝金＋旅費'!$A$1:$AL$42</definedName>
    <definedName name="_xlnm.Print_Area" localSheetId="3">【記入例】謝金のみ!$A$1:$AL$42</definedName>
    <definedName name="_xlnm.Print_Area" localSheetId="0">謝金・旅費実施伺!$A$1:$AL$43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7" i="34" l="1"/>
  <c r="AA29" i="34"/>
  <c r="AG26" i="34"/>
  <c r="AL22" i="34"/>
  <c r="AA20" i="34"/>
  <c r="AF10" i="34"/>
  <c r="AF9" i="34"/>
  <c r="W2" i="22" l="1"/>
  <c r="K2" i="22"/>
  <c r="J2" i="22"/>
  <c r="F2" i="22"/>
  <c r="AQ17" i="20" l="1"/>
  <c r="AG27" i="20"/>
  <c r="U37" i="33" l="1"/>
  <c r="AL22" i="33"/>
  <c r="U38" i="20" l="1"/>
  <c r="AK23" i="20" l="1"/>
  <c r="AA21" i="20" l="1"/>
  <c r="AA29" i="33" l="1"/>
  <c r="AG26" i="33"/>
  <c r="AA20" i="33"/>
  <c r="AF10" i="33"/>
  <c r="AF9" i="33"/>
  <c r="U2" i="22" l="1"/>
  <c r="T2" i="22"/>
  <c r="S2" i="22"/>
  <c r="R2" i="22"/>
  <c r="Z2" i="22"/>
  <c r="AA25" i="22"/>
  <c r="AA17" i="22"/>
  <c r="AA30" i="20" l="1"/>
  <c r="AE2" i="22" l="1"/>
  <c r="AB2" i="22"/>
  <c r="AA2" i="22"/>
  <c r="Y2" i="22"/>
  <c r="X2" i="22"/>
  <c r="Q2" i="22"/>
  <c r="AF10" i="20" l="1"/>
  <c r="V2" i="22" s="1"/>
  <c r="H2" i="22" l="1"/>
  <c r="G2" i="22"/>
  <c r="AF1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真実</author>
    <author>細沼　祐介</author>
  </authors>
  <commentList>
    <comment ref="A4" authorId="0" shapeId="0" xr:uid="{14CA71B4-2238-46FE-83B0-A73E57AB3BA3}">
      <text>
        <r>
          <rPr>
            <b/>
            <sz val="9"/>
            <color indexed="81"/>
            <rFont val="MS P ゴシック"/>
            <family val="3"/>
            <charset val="128"/>
          </rPr>
          <t>申請書の課題名を記入</t>
        </r>
      </text>
    </comment>
    <comment ref="O6" authorId="0" shapeId="0" xr:uid="{EEA27985-B54F-4093-8F72-ED5FDB8C0B16}">
      <text>
        <r>
          <rPr>
            <b/>
            <sz val="9"/>
            <color indexed="81"/>
            <rFont val="MS P ゴシック"/>
            <family val="3"/>
            <charset val="128"/>
          </rPr>
          <t>教育目的であればこちら</t>
        </r>
      </text>
    </comment>
    <comment ref="V6" authorId="0" shapeId="0" xr:uid="{155A5B55-D96F-478D-B7CF-39B0DE78C2A1}">
      <text>
        <r>
          <rPr>
            <b/>
            <sz val="9"/>
            <color indexed="81"/>
            <rFont val="MS P ゴシック"/>
            <family val="3"/>
            <charset val="128"/>
          </rPr>
          <t>研究目的であればこちら</t>
        </r>
      </text>
    </comment>
    <comment ref="A7" authorId="0" shapeId="0" xr:uid="{58263EAC-0A6F-4E0E-B517-E402C2EC9CBA}">
      <text>
        <r>
          <rPr>
            <b/>
            <sz val="9"/>
            <color indexed="81"/>
            <rFont val="MS P ゴシック"/>
            <family val="3"/>
            <charset val="128"/>
          </rPr>
          <t>複数名の場合は「別紙のとおり」とし、
参加者リストを提出すること</t>
        </r>
      </text>
    </comment>
    <comment ref="J10" authorId="1" shapeId="0" xr:uid="{EED5A1FD-DAF2-40BE-990C-E83279B54316}">
      <text>
        <r>
          <rPr>
            <b/>
            <sz val="9"/>
            <color indexed="81"/>
            <rFont val="MS P ゴシック"/>
            <family val="3"/>
            <charset val="128"/>
          </rPr>
          <t>倫理申請時は空欄</t>
        </r>
      </text>
    </comment>
    <comment ref="V10" authorId="1" shapeId="0" xr:uid="{DE400240-6779-45D4-846F-4F9BDD7F7936}">
      <text>
        <r>
          <rPr>
            <b/>
            <sz val="9"/>
            <color indexed="81"/>
            <rFont val="MS P ゴシック"/>
            <family val="3"/>
            <charset val="128"/>
          </rPr>
          <t>同一年度内で設定</t>
        </r>
      </text>
    </comment>
    <comment ref="J11" authorId="1" shapeId="0" xr:uid="{8BC3B2E2-45F6-4ECC-B671-F6DA87ACB6C6}">
      <text>
        <r>
          <rPr>
            <b/>
            <sz val="9"/>
            <color indexed="81"/>
            <rFont val="MS P ゴシック"/>
            <family val="3"/>
            <charset val="128"/>
          </rPr>
          <t>・hh:mm形式で入力してください
・出張等終日の場合は空欄で可</t>
        </r>
      </text>
    </comment>
    <comment ref="V11" authorId="1" shapeId="0" xr:uid="{BEF7C6B7-3A95-4819-B625-EB4508324133}">
      <text>
        <r>
          <rPr>
            <b/>
            <sz val="9"/>
            <color indexed="81"/>
            <rFont val="MS P ゴシック"/>
            <family val="3"/>
            <charset val="128"/>
          </rPr>
          <t>・hh:mm形式で入力してください
・出張等終日の場合は空欄で可</t>
        </r>
      </text>
    </comment>
    <comment ref="S12" authorId="1" shapeId="0" xr:uid="{5FC823B3-126E-40D1-82CA-3BFEF53C5E26}">
      <text>
        <r>
          <rPr>
            <b/>
            <sz val="9"/>
            <color indexed="81"/>
            <rFont val="MS P ゴシック"/>
            <family val="3"/>
            <charset val="128"/>
          </rPr>
          <t>「当該期間のうち指定する〇日間･〇時間/人」等を記入</t>
        </r>
      </text>
    </comment>
    <comment ref="A13" authorId="0" shapeId="0" xr:uid="{F33360D9-C90C-4942-9734-CD624DE9A2C6}">
      <text>
        <r>
          <rPr>
            <b/>
            <sz val="9"/>
            <color indexed="81"/>
            <rFont val="MS P ゴシック"/>
            <family val="3"/>
            <charset val="128"/>
          </rPr>
          <t>申請書と統一して
記載してください</t>
        </r>
      </text>
    </comment>
    <comment ref="T13" authorId="1" shapeId="0" xr:uid="{97691C92-0BC0-4B25-AC9F-AD4C30DC7E9F}">
      <text>
        <r>
          <rPr>
            <b/>
            <sz val="9"/>
            <color indexed="81"/>
            <rFont val="MS P ゴシック"/>
            <family val="3"/>
            <charset val="128"/>
          </rPr>
          <t>具体的な実施場所を記入してください</t>
        </r>
      </text>
    </comment>
    <comment ref="A15" authorId="0" shapeId="0" xr:uid="{F15CD660-A3C7-4266-BACA-2F8BFE42B4D2}">
      <text>
        <r>
          <rPr>
            <b/>
            <sz val="9"/>
            <color indexed="81"/>
            <rFont val="MS P ゴシック"/>
            <family val="3"/>
            <charset val="128"/>
          </rPr>
          <t>申請書と同じ予算を記入すること。（コードと名称はFAIRから転記）
複数の予算で承認されている場合は、予算ごとに伺いを作成すること。
事後報告で、合計人数を超えないよう各予算の参加者を管理すること。</t>
        </r>
      </text>
    </comment>
    <comment ref="K16" authorId="0" shapeId="0" xr:uid="{2F0EB63B-BC1E-492B-8FFD-AF6B5053F3F8}">
      <text>
        <r>
          <rPr>
            <b/>
            <sz val="9"/>
            <color indexed="81"/>
            <rFont val="MS P ゴシック"/>
            <family val="3"/>
            <charset val="128"/>
          </rPr>
          <t>教育目的であれば院予算から支出、
研究目的であれば系予算から支出</t>
        </r>
      </text>
    </comment>
    <comment ref="Q18" authorId="1" shapeId="0" xr:uid="{8CBB73FD-7398-46EE-80C4-F8811A70ACCD}">
      <text>
        <r>
          <rPr>
            <b/>
            <sz val="9"/>
            <color indexed="81"/>
            <rFont val="MS P ゴシック"/>
            <family val="3"/>
            <charset val="128"/>
          </rPr>
          <t>学内予算の場合は記入不要</t>
        </r>
      </text>
    </comment>
    <comment ref="G27" authorId="0" shapeId="0" xr:uid="{D59AC365-6C63-44D7-8892-4EBBC6C78D78}">
      <text>
        <r>
          <rPr>
            <b/>
            <sz val="10"/>
            <color indexed="81"/>
            <rFont val="MS P ゴシック"/>
            <family val="3"/>
            <charset val="128"/>
          </rPr>
          <t>外右側の説明をご確認ください。</t>
        </r>
      </text>
    </comment>
    <comment ref="S27" authorId="0" shapeId="0" xr:uid="{706BD7DC-875A-4B7F-8E98-FB0CCAA22D41}">
      <text>
        <r>
          <rPr>
            <b/>
            <sz val="9"/>
            <color indexed="81"/>
            <rFont val="MS P ゴシック"/>
            <family val="3"/>
            <charset val="128"/>
          </rPr>
          <t>「時間」を選択すること。</t>
        </r>
      </text>
    </comment>
    <comment ref="I29" authorId="0" shapeId="0" xr:uid="{AFA9B169-17D4-40FE-88B7-F2D6D98AFE4C}">
      <text>
        <r>
          <rPr>
            <b/>
            <sz val="9"/>
            <color indexed="81"/>
            <rFont val="MS P ゴシック"/>
            <family val="3"/>
            <charset val="128"/>
          </rPr>
          <t>一時間当たりの上限は1080円です。
下回る場合は打ち切りを選択して
金額を記入してください。</t>
        </r>
      </text>
    </comment>
    <comment ref="A30" authorId="0" shapeId="0" xr:uid="{51724D65-82AE-4D70-8D23-C74CA82401AE}">
      <text>
        <r>
          <rPr>
            <b/>
            <sz val="9"/>
            <color indexed="81"/>
            <rFont val="MS P ゴシック"/>
            <family val="3"/>
            <charset val="128"/>
          </rPr>
          <t>旅費を支給する場合は、出張届PDFも提出すること</t>
        </r>
      </text>
    </comment>
    <comment ref="AG33" authorId="0" shapeId="0" xr:uid="{784348AE-695B-410C-B3BC-8C34C0E0A43E}">
      <text>
        <r>
          <rPr>
            <b/>
            <sz val="9"/>
            <color indexed="81"/>
            <rFont val="MS P ゴシック"/>
            <family val="3"/>
            <charset val="128"/>
          </rPr>
          <t>Amazonギフト券（メールタイプ）で支給する場合は、参加者リストにメールアドレスを記入すること</t>
        </r>
      </text>
    </comment>
    <comment ref="G36" authorId="0" shapeId="0" xr:uid="{5A3397ED-8397-409E-B22E-11181917834E}">
      <text>
        <r>
          <rPr>
            <b/>
            <sz val="9"/>
            <color indexed="81"/>
            <rFont val="MS P ゴシック"/>
            <family val="3"/>
            <charset val="128"/>
          </rPr>
          <t>申請者（教員）又は、秘書を記入すること。※学生不可</t>
        </r>
      </text>
    </comment>
    <comment ref="G39" authorId="0" shapeId="0" xr:uid="{E8DEA98A-48BA-43D4-BEBD-89CB2E3C4020}">
      <text>
        <r>
          <rPr>
            <b/>
            <sz val="10"/>
            <color indexed="81"/>
            <rFont val="MS P ゴシック"/>
            <family val="3"/>
            <charset val="128"/>
          </rPr>
          <t>「最大人数〇〇人、最長時間〇〇分 or 〇〇時間/人」を記載すること</t>
        </r>
      </text>
    </comment>
    <comment ref="C41" authorId="0" shapeId="0" xr:uid="{B7AB7082-8A25-4811-990E-B223A85D5D0E}">
      <text>
        <r>
          <rPr>
            <b/>
            <sz val="9"/>
            <color indexed="81"/>
            <rFont val="MS P ゴシック"/>
            <family val="3"/>
            <charset val="128"/>
          </rPr>
          <t>倫理申請時は空欄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細沼　祐介</author>
  </authors>
  <commentList>
    <comment ref="G6" authorId="0" shapeId="0" xr:uid="{AE345D52-05D6-4CA0-9EBC-0D7DECBC0437}">
      <text>
        <r>
          <rPr>
            <b/>
            <sz val="9"/>
            <color indexed="81"/>
            <rFont val="MS P ゴシック"/>
            <family val="3"/>
            <charset val="128"/>
          </rPr>
          <t xml:space="preserve">実施者が多人数の場合は、別紙として実施予定者リストを添付することが可能です。
</t>
        </r>
      </text>
    </comment>
    <comment ref="J9" authorId="0" shapeId="0" xr:uid="{72EB6424-7BA9-45FF-9BBD-EF893E1F0E98}">
      <text>
        <r>
          <rPr>
            <b/>
            <sz val="9"/>
            <color indexed="81"/>
            <rFont val="MS P ゴシック"/>
            <family val="3"/>
            <charset val="128"/>
          </rPr>
          <t>yyyy/mm/dd形式で入力してください</t>
        </r>
      </text>
    </comment>
    <comment ref="V9" authorId="0" shapeId="0" xr:uid="{C982100E-3F3D-43F4-861B-D2ACA005DCC3}">
      <text>
        <r>
          <rPr>
            <b/>
            <sz val="9"/>
            <color indexed="81"/>
            <rFont val="MS P ゴシック"/>
            <family val="3"/>
            <charset val="128"/>
          </rPr>
          <t>yyyy/mm/dd形式で入力してください</t>
        </r>
      </text>
    </comment>
    <comment ref="J10" authorId="0" shapeId="0" xr:uid="{84AC2361-5E89-4856-A70E-EEECBF7404D5}">
      <text>
        <r>
          <rPr>
            <b/>
            <sz val="9"/>
            <color indexed="81"/>
            <rFont val="MS P ゴシック"/>
            <family val="3"/>
            <charset val="128"/>
          </rPr>
          <t>・hh:mm形式で入力してください
・出張等終日の場合は空欄で可</t>
        </r>
      </text>
    </comment>
    <comment ref="V10" authorId="0" shapeId="0" xr:uid="{C382745E-C4A0-42D0-B25A-C4B144E23702}">
      <text>
        <r>
          <rPr>
            <b/>
            <sz val="9"/>
            <color indexed="81"/>
            <rFont val="MS P ゴシック"/>
            <family val="3"/>
            <charset val="128"/>
          </rPr>
          <t>・hh:mm形式で入力してください
・出張等終日の場合は空欄で可</t>
        </r>
      </text>
    </comment>
    <comment ref="S11" authorId="0" shapeId="0" xr:uid="{2D0BE086-4D05-43CF-AE5B-DCB6F3A1EBB3}">
      <text>
        <r>
          <rPr>
            <b/>
            <sz val="9"/>
            <color indexed="81"/>
            <rFont val="MS P ゴシック"/>
            <family val="3"/>
            <charset val="128"/>
          </rPr>
          <t>「上記期間のうち業務依頼者が指定する〇日間、各日1時間」等</t>
        </r>
      </text>
    </comment>
    <comment ref="T12" authorId="0" shapeId="0" xr:uid="{1FCF5E98-C303-40CD-96E2-35A7AD3E4F03}">
      <text>
        <r>
          <rPr>
            <b/>
            <sz val="9"/>
            <color indexed="81"/>
            <rFont val="MS P ゴシック"/>
            <family val="3"/>
            <charset val="128"/>
          </rPr>
          <t>具体的な実施場所を記入してください</t>
        </r>
      </text>
    </comment>
    <comment ref="K17" authorId="0" shapeId="0" xr:uid="{78097AB5-BAC2-4049-A509-5DB1176C905F}">
      <text>
        <r>
          <rPr>
            <b/>
            <sz val="9"/>
            <color indexed="81"/>
            <rFont val="MS P ゴシック"/>
            <family val="3"/>
            <charset val="128"/>
          </rPr>
          <t>学内予算の場合は記入不要</t>
        </r>
      </text>
    </comment>
    <comment ref="Q17" authorId="0" shapeId="0" xr:uid="{4C8215DB-7B1D-4691-8C0C-61BA1CB2FCAE}">
      <text>
        <r>
          <rPr>
            <b/>
            <sz val="9"/>
            <color indexed="81"/>
            <rFont val="MS P ゴシック"/>
            <family val="3"/>
            <charset val="128"/>
          </rPr>
          <t>学内予算の場合は記入不要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細沼　祐介</author>
  </authors>
  <commentList>
    <comment ref="G6" authorId="0" shapeId="0" xr:uid="{010CFBAD-7B43-4FDE-ADD0-E74C41B3A02F}">
      <text>
        <r>
          <rPr>
            <b/>
            <sz val="9"/>
            <color indexed="81"/>
            <rFont val="MS P ゴシック"/>
            <family val="3"/>
            <charset val="128"/>
          </rPr>
          <t xml:space="preserve">実施者が多人数の場合は、別紙として実施予定者リストを添付することが可能です。
</t>
        </r>
      </text>
    </comment>
    <comment ref="J9" authorId="0" shapeId="0" xr:uid="{A4BA2EF9-4AA2-4918-A6DB-628C57835BE2}">
      <text>
        <r>
          <rPr>
            <b/>
            <sz val="9"/>
            <color indexed="81"/>
            <rFont val="MS P ゴシック"/>
            <family val="3"/>
            <charset val="128"/>
          </rPr>
          <t>yyyy/mm/dd形式で入力してください</t>
        </r>
      </text>
    </comment>
    <comment ref="V9" authorId="0" shapeId="0" xr:uid="{8237BBE3-019E-4FA5-82C8-4EEBF283DC48}">
      <text>
        <r>
          <rPr>
            <b/>
            <sz val="9"/>
            <color indexed="81"/>
            <rFont val="MS P ゴシック"/>
            <family val="3"/>
            <charset val="128"/>
          </rPr>
          <t>yyyy/mm/dd形式で入力してください</t>
        </r>
      </text>
    </comment>
    <comment ref="J10" authorId="0" shapeId="0" xr:uid="{AF67E2BF-2997-4866-A743-7933CD9B7819}">
      <text>
        <r>
          <rPr>
            <b/>
            <sz val="9"/>
            <color indexed="81"/>
            <rFont val="MS P ゴシック"/>
            <family val="3"/>
            <charset val="128"/>
          </rPr>
          <t>・hh:mm形式で入力してください
・出張等終日の場合は空欄で可</t>
        </r>
      </text>
    </comment>
    <comment ref="V10" authorId="0" shapeId="0" xr:uid="{AA6A4E99-C3E7-4015-8EC6-0C7CAD35E799}">
      <text>
        <r>
          <rPr>
            <b/>
            <sz val="9"/>
            <color indexed="81"/>
            <rFont val="MS P ゴシック"/>
            <family val="3"/>
            <charset val="128"/>
          </rPr>
          <t>・hh:mm形式で入力してください
・出張等終日の場合は空欄で可</t>
        </r>
      </text>
    </comment>
    <comment ref="S11" authorId="0" shapeId="0" xr:uid="{BEC9C1AD-F802-4541-BCB4-2318382A9C6A}">
      <text>
        <r>
          <rPr>
            <b/>
            <sz val="9"/>
            <color indexed="81"/>
            <rFont val="MS P ゴシック"/>
            <family val="3"/>
            <charset val="128"/>
          </rPr>
          <t>「上記期間のうち業務依頼者が指定する〇日間、各日1時間」等</t>
        </r>
      </text>
    </comment>
    <comment ref="T12" authorId="0" shapeId="0" xr:uid="{D333493A-2DC2-4ACE-9E87-5270C3C25621}">
      <text>
        <r>
          <rPr>
            <b/>
            <sz val="9"/>
            <color indexed="81"/>
            <rFont val="MS P ゴシック"/>
            <family val="3"/>
            <charset val="128"/>
          </rPr>
          <t>具体的な実施場所を記入してください</t>
        </r>
      </text>
    </comment>
    <comment ref="K17" authorId="0" shapeId="0" xr:uid="{C006FE2C-691A-4949-9632-AE189C2269D1}">
      <text>
        <r>
          <rPr>
            <b/>
            <sz val="9"/>
            <color indexed="81"/>
            <rFont val="MS P ゴシック"/>
            <family val="3"/>
            <charset val="128"/>
          </rPr>
          <t>学内予算の場合は記入不要</t>
        </r>
      </text>
    </comment>
    <comment ref="Q17" authorId="0" shapeId="0" xr:uid="{B1BD7C2C-BA74-4D0B-B393-12F2FE44C0C6}">
      <text>
        <r>
          <rPr>
            <b/>
            <sz val="9"/>
            <color indexed="81"/>
            <rFont val="MS P ゴシック"/>
            <family val="3"/>
            <charset val="128"/>
          </rPr>
          <t>学内予算の場合は記入不要</t>
        </r>
      </text>
    </comment>
  </commentList>
</comments>
</file>

<file path=xl/sharedStrings.xml><?xml version="1.0" encoding="utf-8"?>
<sst xmlns="http://schemas.openxmlformats.org/spreadsheetml/2006/main" count="760" uniqueCount="326">
  <si>
    <t>謝金・旅費等発生業務の実施について（伺）</t>
    <rPh sb="0" eb="2">
      <t>シャキン</t>
    </rPh>
    <rPh sb="3" eb="5">
      <t>リョヒ</t>
    </rPh>
    <rPh sb="5" eb="6">
      <t>トウ</t>
    </rPh>
    <rPh sb="6" eb="8">
      <t>ハッセイ</t>
    </rPh>
    <rPh sb="8" eb="10">
      <t>ギョウム</t>
    </rPh>
    <rPh sb="11" eb="13">
      <t>ジッシ</t>
    </rPh>
    <rPh sb="18" eb="19">
      <t>ウカガイ</t>
    </rPh>
    <phoneticPr fontId="2"/>
  </si>
  <si>
    <t>下記のとおり、実施してよろしいか伺います。</t>
    <rPh sb="0" eb="2">
      <t>カキ</t>
    </rPh>
    <rPh sb="7" eb="9">
      <t>ジッシ</t>
    </rPh>
    <rPh sb="16" eb="17">
      <t>ウカガ</t>
    </rPh>
    <phoneticPr fontId="2"/>
  </si>
  <si>
    <t>Amazonギフト券</t>
    <rPh sb="9" eb="10">
      <t>ケン</t>
    </rPh>
    <phoneticPr fontId="14"/>
  </si>
  <si>
    <r>
      <t xml:space="preserve">①事項名
</t>
    </r>
    <r>
      <rPr>
        <sz val="9"/>
        <color indexed="8"/>
        <rFont val="ＭＳ Ｐ明朝"/>
        <family val="1"/>
        <charset val="128"/>
      </rPr>
      <t>（目的・業務内容）</t>
    </r>
    <rPh sb="1" eb="3">
      <t>ジコウ</t>
    </rPh>
    <rPh sb="3" eb="4">
      <t>メイ</t>
    </rPh>
    <rPh sb="6" eb="8">
      <t>モクテキ</t>
    </rPh>
    <rPh sb="9" eb="11">
      <t>ギョウム</t>
    </rPh>
    <rPh sb="11" eb="13">
      <t>ナイヨウ</t>
    </rPh>
    <phoneticPr fontId="2"/>
  </si>
  <si>
    <t>Amazonギフト券（メールタイプ）</t>
    <rPh sb="9" eb="10">
      <t>ケン</t>
    </rPh>
    <phoneticPr fontId="14"/>
  </si>
  <si>
    <t>その他のギフトカード（⑫備考欄に記入）</t>
    <rPh sb="2" eb="3">
      <t>ホカ</t>
    </rPh>
    <rPh sb="12" eb="15">
      <t>ビコウラン</t>
    </rPh>
    <rPh sb="16" eb="18">
      <t>キニュウ</t>
    </rPh>
    <phoneticPr fontId="14"/>
  </si>
  <si>
    <t>教育業務（授業関連）</t>
    <rPh sb="0" eb="2">
      <t>キョウイク</t>
    </rPh>
    <rPh sb="2" eb="4">
      <t>ギョウム</t>
    </rPh>
    <rPh sb="5" eb="7">
      <t>ジュギョウ</t>
    </rPh>
    <rPh sb="7" eb="9">
      <t>カンレン</t>
    </rPh>
    <phoneticPr fontId="14"/>
  </si>
  <si>
    <t>教育業務(授業以外)</t>
    <rPh sb="0" eb="2">
      <t>キョウイク</t>
    </rPh>
    <rPh sb="2" eb="4">
      <t>ギョウム</t>
    </rPh>
    <rPh sb="5" eb="7">
      <t>ジュギョウ</t>
    </rPh>
    <rPh sb="7" eb="9">
      <t>イガイ</t>
    </rPh>
    <phoneticPr fontId="14"/>
  </si>
  <si>
    <t>研究・その他業務</t>
    <rPh sb="0" eb="2">
      <t>ケンキュウ</t>
    </rPh>
    <rPh sb="5" eb="6">
      <t>タ</t>
    </rPh>
    <rPh sb="6" eb="8">
      <t>ギョウム</t>
    </rPh>
    <phoneticPr fontId="14"/>
  </si>
  <si>
    <t>←ボタンを選択してください</t>
    <phoneticPr fontId="14"/>
  </si>
  <si>
    <t>業務実施者</t>
    <rPh sb="0" eb="2">
      <t>ギョウム</t>
    </rPh>
    <rPh sb="2" eb="4">
      <t>ジッシ</t>
    </rPh>
    <rPh sb="4" eb="5">
      <t>シャ</t>
    </rPh>
    <phoneticPr fontId="2"/>
  </si>
  <si>
    <t>②氏名</t>
    <rPh sb="1" eb="3">
      <t>シメイ</t>
    </rPh>
    <phoneticPr fontId="2"/>
  </si>
  <si>
    <t>③自宅住所</t>
    <rPh sb="1" eb="3">
      <t>ジタク</t>
    </rPh>
    <rPh sb="3" eb="5">
      <t>ジュウショ</t>
    </rPh>
    <phoneticPr fontId="2"/>
  </si>
  <si>
    <t>④</t>
    <phoneticPr fontId="2"/>
  </si>
  <si>
    <t>所属</t>
    <phoneticPr fontId="14"/>
  </si>
  <si>
    <t>⑤所属住所</t>
    <rPh sb="1" eb="3">
      <t>ショゾク</t>
    </rPh>
    <rPh sb="3" eb="5">
      <t>ジュウショ</t>
    </rPh>
    <phoneticPr fontId="2"/>
  </si>
  <si>
    <t>職名</t>
    <rPh sb="0" eb="2">
      <t>ショクメイ</t>
    </rPh>
    <phoneticPr fontId="14"/>
  </si>
  <si>
    <t>⑥実施期間</t>
    <rPh sb="1" eb="3">
      <t>ジッシ</t>
    </rPh>
    <rPh sb="3" eb="5">
      <t>キカン</t>
    </rPh>
    <phoneticPr fontId="2"/>
  </si>
  <si>
    <t>開始日</t>
    <rPh sb="0" eb="3">
      <t>カイシビ</t>
    </rPh>
    <phoneticPr fontId="14"/>
  </si>
  <si>
    <t>～　</t>
    <phoneticPr fontId="2"/>
  </si>
  <si>
    <t>終了日</t>
    <rPh sb="0" eb="3">
      <t>シュウリョウビ</t>
    </rPh>
    <phoneticPr fontId="14"/>
  </si>
  <si>
    <t>（</t>
    <phoneticPr fontId="2"/>
  </si>
  <si>
    <t>日間</t>
    <rPh sb="0" eb="2">
      <t>ニチカン</t>
    </rPh>
    <phoneticPr fontId="2"/>
  </si>
  <si>
    <t>）</t>
    <phoneticPr fontId="2"/>
  </si>
  <si>
    <t>開始時間</t>
    <rPh sb="0" eb="2">
      <t>カイシ</t>
    </rPh>
    <rPh sb="2" eb="4">
      <t>ジカン</t>
    </rPh>
    <phoneticPr fontId="14"/>
  </si>
  <si>
    <t>～</t>
    <phoneticPr fontId="2"/>
  </si>
  <si>
    <t>終了時間</t>
    <rPh sb="0" eb="4">
      <t>シュウリョウジカン</t>
    </rPh>
    <phoneticPr fontId="14"/>
  </si>
  <si>
    <t>時間</t>
    <rPh sb="0" eb="2">
      <t>ジカン</t>
    </rPh>
    <phoneticPr fontId="2"/>
  </si>
  <si>
    <t>上記期間内で別途指定がある場合日付・時間等記入</t>
    <rPh sb="0" eb="2">
      <t>ジョウキ</t>
    </rPh>
    <rPh sb="2" eb="5">
      <t>キカンナイ</t>
    </rPh>
    <rPh sb="6" eb="8">
      <t>ベット</t>
    </rPh>
    <rPh sb="8" eb="10">
      <t>シテイ</t>
    </rPh>
    <rPh sb="13" eb="15">
      <t>バアイ</t>
    </rPh>
    <rPh sb="15" eb="17">
      <t>ヒヅケ</t>
    </rPh>
    <rPh sb="18" eb="20">
      <t>ジカン</t>
    </rPh>
    <rPh sb="20" eb="21">
      <t>トウ</t>
    </rPh>
    <rPh sb="21" eb="23">
      <t>キニュウ</t>
    </rPh>
    <phoneticPr fontId="14"/>
  </si>
  <si>
    <t>⑦実施場所・住所</t>
    <rPh sb="1" eb="3">
      <t>ジッシ</t>
    </rPh>
    <rPh sb="3" eb="5">
      <t>バショ</t>
    </rPh>
    <rPh sb="6" eb="8">
      <t>ジュウショ</t>
    </rPh>
    <phoneticPr fontId="2"/>
  </si>
  <si>
    <t>筑波大学</t>
    <rPh sb="0" eb="2">
      <t>ツクバ</t>
    </rPh>
    <rPh sb="2" eb="4">
      <t>ダイガク</t>
    </rPh>
    <phoneticPr fontId="2"/>
  </si>
  <si>
    <t>学外</t>
    <rPh sb="0" eb="2">
      <t>ガクガイ</t>
    </rPh>
    <phoneticPr fontId="14"/>
  </si>
  <si>
    <t>→</t>
    <phoneticPr fontId="14"/>
  </si>
  <si>
    <t>場所：</t>
    <rPh sb="0" eb="2">
      <t>バショ</t>
    </rPh>
    <phoneticPr fontId="14"/>
  </si>
  <si>
    <t>部屋番号等：</t>
    <rPh sb="0" eb="2">
      <t>ヘヤ</t>
    </rPh>
    <rPh sb="2" eb="4">
      <t>バンゴウ</t>
    </rPh>
    <rPh sb="4" eb="5">
      <t>トウ</t>
    </rPh>
    <phoneticPr fontId="2"/>
  </si>
  <si>
    <t>住所 ：</t>
    <rPh sb="0" eb="2">
      <t>ジュウショ</t>
    </rPh>
    <phoneticPr fontId="2"/>
  </si>
  <si>
    <t>⑧支出予算</t>
    <rPh sb="1" eb="3">
      <t>シシュツ</t>
    </rPh>
    <rPh sb="3" eb="5">
      <t>ヨサン</t>
    </rPh>
    <phoneticPr fontId="2"/>
  </si>
  <si>
    <t>区分</t>
    <rPh sb="0" eb="2">
      <t>クブン</t>
    </rPh>
    <phoneticPr fontId="2"/>
  </si>
  <si>
    <t>コード</t>
    <phoneticPr fontId="2"/>
  </si>
  <si>
    <t>名称</t>
    <rPh sb="0" eb="2">
      <t>メイショウ</t>
    </rPh>
    <phoneticPr fontId="2"/>
  </si>
  <si>
    <t>所管</t>
    <rPh sb="0" eb="2">
      <t>ショカン</t>
    </rPh>
    <phoneticPr fontId="2"/>
  </si>
  <si>
    <t xml:space="preserve">３A21						</t>
  </si>
  <si>
    <t>＜参考＞謝金見込額計算用</t>
    <rPh sb="1" eb="3">
      <t>サンコウ</t>
    </rPh>
    <rPh sb="4" eb="6">
      <t>シャキン</t>
    </rPh>
    <rPh sb="6" eb="9">
      <t>ミコミガク</t>
    </rPh>
    <rPh sb="9" eb="12">
      <t>ケイサンヨウ</t>
    </rPh>
    <phoneticPr fontId="14"/>
  </si>
  <si>
    <t>目的</t>
    <rPh sb="0" eb="2">
      <t>モクテキ</t>
    </rPh>
    <phoneticPr fontId="2"/>
  </si>
  <si>
    <t>数量欄の計算</t>
    <rPh sb="0" eb="3">
      <t>スウリョウラン</t>
    </rPh>
    <rPh sb="4" eb="6">
      <t>ケイサン</t>
    </rPh>
    <phoneticPr fontId="14"/>
  </si>
  <si>
    <t>⇒数量欄に転記</t>
    <rPh sb="1" eb="3">
      <t>スウリョウ</t>
    </rPh>
    <rPh sb="3" eb="4">
      <t>ラン</t>
    </rPh>
    <rPh sb="5" eb="7">
      <t>テンキ</t>
    </rPh>
    <phoneticPr fontId="14"/>
  </si>
  <si>
    <t>プロジェクト</t>
    <phoneticPr fontId="2"/>
  </si>
  <si>
    <t>１名当たりの最大所要時間（分）</t>
    <rPh sb="1" eb="3">
      <t>メイア</t>
    </rPh>
    <rPh sb="6" eb="8">
      <t>サイダイ</t>
    </rPh>
    <rPh sb="8" eb="12">
      <t>ショヨウジカン</t>
    </rPh>
    <rPh sb="13" eb="14">
      <t>フン</t>
    </rPh>
    <phoneticPr fontId="14"/>
  </si>
  <si>
    <t>執行所管</t>
    <rPh sb="0" eb="2">
      <t>シッコウ</t>
    </rPh>
    <rPh sb="2" eb="4">
      <t>ショカン</t>
    </rPh>
    <phoneticPr fontId="2"/>
  </si>
  <si>
    <t>最大合計人数（人）</t>
    <rPh sb="0" eb="6">
      <t>サイダイゴウケイニンズウ</t>
    </rPh>
    <rPh sb="7" eb="8">
      <t>ヒト</t>
    </rPh>
    <phoneticPr fontId="14"/>
  </si>
  <si>
    <t>執行目的</t>
    <rPh sb="0" eb="2">
      <t>シッコウ</t>
    </rPh>
    <rPh sb="2" eb="4">
      <t>モクテキ</t>
    </rPh>
    <phoneticPr fontId="2"/>
  </si>
  <si>
    <t>⑨謝金</t>
    <rPh sb="1" eb="3">
      <t>シャキン</t>
    </rPh>
    <phoneticPr fontId="2"/>
  </si>
  <si>
    <t>謝金支給の有無</t>
    <rPh sb="0" eb="2">
      <t>シャキン</t>
    </rPh>
    <rPh sb="2" eb="4">
      <t>シキュウ</t>
    </rPh>
    <rPh sb="5" eb="7">
      <t>ウム</t>
    </rPh>
    <phoneticPr fontId="2"/>
  </si>
  <si>
    <t>あり</t>
    <phoneticPr fontId="2"/>
  </si>
  <si>
    <t>なし</t>
    <phoneticPr fontId="2"/>
  </si>
  <si>
    <t>辞退</t>
    <rPh sb="0" eb="2">
      <t>ジタイ</t>
    </rPh>
    <phoneticPr fontId="2"/>
  </si>
  <si>
    <t>適用する謝金区分</t>
    <rPh sb="0" eb="2">
      <t>テキヨウ</t>
    </rPh>
    <rPh sb="4" eb="6">
      <t>シャキン</t>
    </rPh>
    <rPh sb="6" eb="8">
      <t>クブン</t>
    </rPh>
    <phoneticPr fontId="2"/>
  </si>
  <si>
    <t>報酬</t>
    <rPh sb="0" eb="2">
      <t>ホウシュウ</t>
    </rPh>
    <phoneticPr fontId="2"/>
  </si>
  <si>
    <t>講演</t>
    <rPh sb="0" eb="2">
      <t>コウエン</t>
    </rPh>
    <phoneticPr fontId="2"/>
  </si>
  <si>
    <t>指導・助言</t>
    <rPh sb="0" eb="2">
      <t>シドウ</t>
    </rPh>
    <rPh sb="3" eb="5">
      <t>ジョゲン</t>
    </rPh>
    <phoneticPr fontId="2"/>
  </si>
  <si>
    <t>対談</t>
    <rPh sb="0" eb="2">
      <t>タイダン</t>
    </rPh>
    <phoneticPr fontId="2"/>
  </si>
  <si>
    <t>原稿</t>
    <rPh sb="0" eb="2">
      <t>ゲンコウ</t>
    </rPh>
    <phoneticPr fontId="2"/>
  </si>
  <si>
    <t>翻訳</t>
    <rPh sb="0" eb="2">
      <t>ホンヤク</t>
    </rPh>
    <phoneticPr fontId="2"/>
  </si>
  <si>
    <t>校閲</t>
    <rPh sb="0" eb="2">
      <t>コウエツ</t>
    </rPh>
    <phoneticPr fontId="2"/>
  </si>
  <si>
    <t>逐次通訳</t>
    <rPh sb="0" eb="2">
      <t>チクジ</t>
    </rPh>
    <rPh sb="2" eb="4">
      <t>ツウヤク</t>
    </rPh>
    <phoneticPr fontId="2"/>
  </si>
  <si>
    <t>同時通訳</t>
    <rPh sb="0" eb="2">
      <t>ドウジ</t>
    </rPh>
    <rPh sb="2" eb="4">
      <t>ツウヤク</t>
    </rPh>
    <phoneticPr fontId="2"/>
  </si>
  <si>
    <t>その他</t>
    <rPh sb="2" eb="3">
      <t>タ</t>
    </rPh>
    <phoneticPr fontId="2"/>
  </si>
  <si>
    <t>(</t>
    <phoneticPr fontId="14"/>
  </si>
  <si>
    <t>)</t>
    <phoneticPr fontId="14"/>
  </si>
  <si>
    <t>使用言語</t>
    <phoneticPr fontId="14"/>
  </si>
  <si>
    <t>語</t>
    <rPh sb="0" eb="1">
      <t>ゴ</t>
    </rPh>
    <phoneticPr fontId="14"/>
  </si>
  <si>
    <t>印刷物・メディア
への掲載の有無</t>
    <rPh sb="0" eb="3">
      <t>インサツブツ</t>
    </rPh>
    <rPh sb="11" eb="13">
      <t>ケイサイ</t>
    </rPh>
    <rPh sb="14" eb="16">
      <t>ウム</t>
    </rPh>
    <phoneticPr fontId="14"/>
  </si>
  <si>
    <t>報酬以外</t>
    <rPh sb="0" eb="2">
      <t>ホウシュウ</t>
    </rPh>
    <rPh sb="2" eb="4">
      <t>イガイ</t>
    </rPh>
    <phoneticPr fontId="2"/>
  </si>
  <si>
    <t>会議出席</t>
    <rPh sb="0" eb="2">
      <t>カイギ</t>
    </rPh>
    <rPh sb="2" eb="4">
      <t>シュッセキ</t>
    </rPh>
    <phoneticPr fontId="2"/>
  </si>
  <si>
    <t>審査・査読</t>
    <rPh sb="0" eb="2">
      <t>シンサ</t>
    </rPh>
    <rPh sb="3" eb="5">
      <t>サドク</t>
    </rPh>
    <phoneticPr fontId="2"/>
  </si>
  <si>
    <t>教育研究協力</t>
    <rPh sb="0" eb="2">
      <t>キョウイク</t>
    </rPh>
    <rPh sb="2" eb="4">
      <t>ケンキュウ</t>
    </rPh>
    <rPh sb="4" eb="6">
      <t>キョウリョク</t>
    </rPh>
    <phoneticPr fontId="2"/>
  </si>
  <si>
    <t>チューター</t>
    <phoneticPr fontId="2"/>
  </si>
  <si>
    <t>被験者</t>
    <rPh sb="0" eb="3">
      <t>ヒケンジャ</t>
    </rPh>
    <phoneticPr fontId="2"/>
  </si>
  <si>
    <t>健康診断</t>
    <rPh sb="0" eb="2">
      <t>ケンコウ</t>
    </rPh>
    <rPh sb="2" eb="4">
      <t>シンダン</t>
    </rPh>
    <phoneticPr fontId="2"/>
  </si>
  <si>
    <t>栄養士</t>
    <rPh sb="0" eb="2">
      <t>エイヨウ</t>
    </rPh>
    <rPh sb="2" eb="3">
      <t>シ</t>
    </rPh>
    <phoneticPr fontId="2"/>
  </si>
  <si>
    <t>見込額</t>
    <rPh sb="0" eb="2">
      <t>ミコミ</t>
    </rPh>
    <rPh sb="2" eb="3">
      <t>ガク</t>
    </rPh>
    <phoneticPr fontId="2"/>
  </si>
  <si>
    <t>単価</t>
    <rPh sb="0" eb="2">
      <t>タンカ</t>
    </rPh>
    <phoneticPr fontId="2"/>
  </si>
  <si>
    <t>数量</t>
    <rPh sb="0" eb="2">
      <t>スウリョウ</t>
    </rPh>
    <phoneticPr fontId="2"/>
  </si>
  <si>
    <t>単位</t>
    <rPh sb="0" eb="2">
      <t>タンイ</t>
    </rPh>
    <phoneticPr fontId="2"/>
  </si>
  <si>
    <t>合計</t>
    <rPh sb="0" eb="2">
      <t>ゴウケイ</t>
    </rPh>
    <phoneticPr fontId="2"/>
  </si>
  <si>
    <t>円</t>
    <rPh sb="0" eb="1">
      <t>エン</t>
    </rPh>
    <phoneticPr fontId="2"/>
  </si>
  <si>
    <t>×</t>
    <phoneticPr fontId="2"/>
  </si>
  <si>
    <t>回</t>
    <rPh sb="0" eb="1">
      <t>カイ</t>
    </rPh>
    <phoneticPr fontId="2"/>
  </si>
  <si>
    <t>枚</t>
    <rPh sb="0" eb="1">
      <t>マイ</t>
    </rPh>
    <phoneticPr fontId="2"/>
  </si>
  <si>
    <t>その他</t>
    <phoneticPr fontId="2"/>
  </si>
  <si>
    <t>合計額を満額支給予定</t>
    <rPh sb="0" eb="3">
      <t>ゴウケイガク</t>
    </rPh>
    <rPh sb="4" eb="6">
      <t>マンガク</t>
    </rPh>
    <rPh sb="6" eb="8">
      <t>シキュウ</t>
    </rPh>
    <rPh sb="8" eb="10">
      <t>ヨテイ</t>
    </rPh>
    <phoneticPr fontId="2"/>
  </si>
  <si>
    <t>打ち切り金額を定める場合</t>
    <phoneticPr fontId="14"/>
  </si>
  <si>
    <t>円打ち切り</t>
    <rPh sb="0" eb="1">
      <t>エン</t>
    </rPh>
    <rPh sb="1" eb="2">
      <t>ウ</t>
    </rPh>
    <rPh sb="3" eb="4">
      <t>キ</t>
    </rPh>
    <phoneticPr fontId="2"/>
  </si>
  <si>
    <t>⑩旅費支給の有無</t>
    <rPh sb="1" eb="3">
      <t>リョヒ</t>
    </rPh>
    <rPh sb="3" eb="5">
      <t>シキュウ</t>
    </rPh>
    <rPh sb="6" eb="8">
      <t>ウム</t>
    </rPh>
    <phoneticPr fontId="2"/>
  </si>
  <si>
    <t>旅費計算に基づき満額支給予定</t>
    <rPh sb="0" eb="2">
      <t>リョヒ</t>
    </rPh>
    <rPh sb="2" eb="4">
      <t>ケイサン</t>
    </rPh>
    <rPh sb="5" eb="6">
      <t>モト</t>
    </rPh>
    <rPh sb="8" eb="10">
      <t>マンガク</t>
    </rPh>
    <rPh sb="10" eb="12">
      <t>シキュウ</t>
    </rPh>
    <rPh sb="12" eb="14">
      <t>ヨテイ</t>
    </rPh>
    <phoneticPr fontId="2"/>
  </si>
  <si>
    <t>打ち切り金額を定める場合</t>
    <rPh sb="0" eb="1">
      <t>ウ</t>
    </rPh>
    <rPh sb="2" eb="3">
      <t>キ</t>
    </rPh>
    <rPh sb="4" eb="6">
      <t>キンガク</t>
    </rPh>
    <rPh sb="7" eb="8">
      <t>サダ</t>
    </rPh>
    <rPh sb="10" eb="12">
      <t>バアイ</t>
    </rPh>
    <phoneticPr fontId="2"/>
  </si>
  <si>
    <t>⑪支払い方法</t>
    <rPh sb="1" eb="3">
      <t>シハライ</t>
    </rPh>
    <rPh sb="4" eb="6">
      <t>ホウホウ</t>
    </rPh>
    <phoneticPr fontId="2"/>
  </si>
  <si>
    <t>振込</t>
    <rPh sb="0" eb="2">
      <t>フリコミ</t>
    </rPh>
    <phoneticPr fontId="2"/>
  </si>
  <si>
    <t>外国送金　）</t>
    <rPh sb="0" eb="2">
      <t>ガイコク</t>
    </rPh>
    <rPh sb="2" eb="4">
      <t>ソウキン</t>
    </rPh>
    <phoneticPr fontId="2"/>
  </si>
  <si>
    <t>代理受領</t>
    <rPh sb="0" eb="2">
      <t>ダイリ</t>
    </rPh>
    <rPh sb="2" eb="4">
      <t>ジュリョウ</t>
    </rPh>
    <phoneticPr fontId="2"/>
  </si>
  <si>
    <t>金券等（被験者謝金のみ）</t>
    <rPh sb="0" eb="2">
      <t>キンケン</t>
    </rPh>
    <rPh sb="2" eb="3">
      <t>トウ</t>
    </rPh>
    <rPh sb="4" eb="9">
      <t>ヒケンシャシャキン</t>
    </rPh>
    <phoneticPr fontId="14"/>
  </si>
  <si>
    <t>金券の種類</t>
    <rPh sb="0" eb="2">
      <t>キンケン</t>
    </rPh>
    <rPh sb="3" eb="5">
      <t>シュルイ</t>
    </rPh>
    <phoneticPr fontId="14"/>
  </si>
  <si>
    <t>⑫備考</t>
    <rPh sb="1" eb="3">
      <t>ビコウ</t>
    </rPh>
    <phoneticPr fontId="2"/>
  </si>
  <si>
    <t>所属長宛の依頼文書</t>
    <rPh sb="0" eb="2">
      <t>ショゾク</t>
    </rPh>
    <rPh sb="2" eb="3">
      <t>チョウ</t>
    </rPh>
    <rPh sb="3" eb="4">
      <t>アテ</t>
    </rPh>
    <rPh sb="5" eb="7">
      <t>イライ</t>
    </rPh>
    <rPh sb="7" eb="9">
      <t>ブンショ</t>
    </rPh>
    <phoneticPr fontId="2"/>
  </si>
  <si>
    <t>所属長職名</t>
    <rPh sb="0" eb="5">
      <t>ショゾクチョウショクメイ</t>
    </rPh>
    <phoneticPr fontId="14"/>
  </si>
  <si>
    <t>要</t>
    <rPh sb="0" eb="1">
      <t>ヨウ</t>
    </rPh>
    <phoneticPr fontId="2"/>
  </si>
  <si>
    <t>不要</t>
    <rPh sb="0" eb="2">
      <t>フヨウ</t>
    </rPh>
    <phoneticPr fontId="2"/>
  </si>
  <si>
    <t>所属長氏名</t>
    <phoneticPr fontId="14"/>
  </si>
  <si>
    <r>
      <t xml:space="preserve">筑波大学担当者
連絡先
</t>
    </r>
    <r>
      <rPr>
        <sz val="8"/>
        <color theme="1"/>
        <rFont val="ＭＳ Ｐ明朝"/>
        <family val="1"/>
        <charset val="128"/>
      </rPr>
      <t>（申請教員・秘書など）</t>
    </r>
    <rPh sb="0" eb="4">
      <t>ツクバダイガク</t>
    </rPh>
    <rPh sb="4" eb="7">
      <t>タントウシャ</t>
    </rPh>
    <rPh sb="8" eb="11">
      <t>レンラクサキ</t>
    </rPh>
    <rPh sb="13" eb="17">
      <t>シンセイキョウイン</t>
    </rPh>
    <rPh sb="18" eb="20">
      <t>ヒショ</t>
    </rPh>
    <phoneticPr fontId="2"/>
  </si>
  <si>
    <t>氏名</t>
    <rPh sb="0" eb="2">
      <t>シメイ</t>
    </rPh>
    <phoneticPr fontId="14"/>
  </si>
  <si>
    <t>TEL</t>
    <phoneticPr fontId="14"/>
  </si>
  <si>
    <t>メールアドレス</t>
    <phoneticPr fontId="14"/>
  </si>
  <si>
    <t>研究倫理委員会承認番号</t>
    <rPh sb="0" eb="7">
      <t>ケンキュウリンリイインカイ</t>
    </rPh>
    <rPh sb="7" eb="11">
      <t>ショウニンバンゴウ</t>
    </rPh>
    <phoneticPr fontId="14"/>
  </si>
  <si>
    <t>事務手続きの都合上、実施する日の３週間前までに、支援室あて　学位P・学類事務室経由にて提出願います。</t>
    <rPh sb="0" eb="2">
      <t>ジム</t>
    </rPh>
    <rPh sb="2" eb="4">
      <t>テツヅ</t>
    </rPh>
    <rPh sb="6" eb="9">
      <t>ツゴウジョウ</t>
    </rPh>
    <rPh sb="10" eb="12">
      <t>ジッシ</t>
    </rPh>
    <rPh sb="14" eb="15">
      <t>ヒ</t>
    </rPh>
    <rPh sb="17" eb="18">
      <t>シュウ</t>
    </rPh>
    <rPh sb="18" eb="19">
      <t>カン</t>
    </rPh>
    <rPh sb="19" eb="20">
      <t>マエ</t>
    </rPh>
    <rPh sb="24" eb="26">
      <t>シエン</t>
    </rPh>
    <rPh sb="26" eb="27">
      <t>シツ</t>
    </rPh>
    <rPh sb="30" eb="32">
      <t>ガクイ</t>
    </rPh>
    <rPh sb="34" eb="36">
      <t>ガクルイ</t>
    </rPh>
    <rPh sb="36" eb="39">
      <t>ジムシツ</t>
    </rPh>
    <rPh sb="39" eb="41">
      <t>ケイユ</t>
    </rPh>
    <phoneticPr fontId="2"/>
  </si>
  <si>
    <t>令和</t>
    <rPh sb="0" eb="2">
      <t>レイワ</t>
    </rPh>
    <phoneticPr fontId="14"/>
  </si>
  <si>
    <t>年</t>
    <phoneticPr fontId="14"/>
  </si>
  <si>
    <t>月</t>
    <phoneticPr fontId="14"/>
  </si>
  <si>
    <t>日</t>
    <phoneticPr fontId="14"/>
  </si>
  <si>
    <t>所属</t>
    <rPh sb="0" eb="2">
      <t>ショゾク</t>
    </rPh>
    <phoneticPr fontId="14"/>
  </si>
  <si>
    <t>システム情報系</t>
    <rPh sb="4" eb="7">
      <t>ジョウホウケイ</t>
    </rPh>
    <phoneticPr fontId="14"/>
  </si>
  <si>
    <t>（域）</t>
    <rPh sb="1" eb="2">
      <t>イキ</t>
    </rPh>
    <phoneticPr fontId="14"/>
  </si>
  <si>
    <t>教職員専用サイト</t>
    <rPh sb="0" eb="5">
      <t>キョウショクインセンヨウ</t>
    </rPh>
    <phoneticPr fontId="14"/>
  </si>
  <si>
    <t>https://ksp.sec.tsukuba.ac.jp/wp/?page_id=13666</t>
    <phoneticPr fontId="14"/>
  </si>
  <si>
    <t>（8-2-1　謝金支給手続きマニュアル　より）</t>
    <rPh sb="7" eb="13">
      <t>シャキンシキュウテツヅ</t>
    </rPh>
    <phoneticPr fontId="14"/>
  </si>
  <si>
    <r>
      <rPr>
        <b/>
        <sz val="7.5"/>
        <rFont val="ＭＳ Ｐゴシック"/>
        <family val="3"/>
      </rPr>
      <t>筑波大学謝金単価表</t>
    </r>
  </si>
  <si>
    <r>
      <rPr>
        <sz val="6"/>
        <rFont val="ＭＳ Ｐゴシック"/>
        <family val="3"/>
      </rPr>
      <t>No.</t>
    </r>
  </si>
  <si>
    <r>
      <rPr>
        <sz val="6"/>
        <rFont val="ＭＳ Ｐゴシック"/>
        <family val="3"/>
      </rPr>
      <t>区                                 分</t>
    </r>
  </si>
  <si>
    <r>
      <rPr>
        <sz val="6"/>
        <rFont val="ＭＳ Ｐゴシック"/>
        <family val="3"/>
      </rPr>
      <t>単位</t>
    </r>
  </si>
  <si>
    <r>
      <rPr>
        <sz val="6"/>
        <rFont val="ＭＳ Ｐゴシック"/>
        <family val="3"/>
      </rPr>
      <t>単価（円）</t>
    </r>
  </si>
  <si>
    <r>
      <rPr>
        <sz val="6"/>
        <rFont val="ＭＳ Ｐゴシック"/>
        <family val="3"/>
      </rPr>
      <t>備             考</t>
    </r>
  </si>
  <si>
    <r>
      <rPr>
        <sz val="6"/>
        <rFont val="ＭＳ Ｐゴシック"/>
        <family val="3"/>
      </rPr>
      <t>居住者</t>
    </r>
  </si>
  <si>
    <r>
      <rPr>
        <sz val="6"/>
        <rFont val="ＭＳ Ｐゴシック"/>
        <family val="3"/>
      </rPr>
      <t>税法上の注意等</t>
    </r>
  </si>
  <si>
    <r>
      <rPr>
        <sz val="6"/>
        <rFont val="ＭＳ Ｐゴシック"/>
        <family val="3"/>
      </rPr>
      <t>添付資料</t>
    </r>
  </si>
  <si>
    <r>
      <rPr>
        <sz val="6"/>
        <rFont val="ＭＳ Ｐゴシック"/>
        <family val="3"/>
      </rPr>
      <t>源泉徴収税</t>
    </r>
  </si>
  <si>
    <r>
      <rPr>
        <sz val="6"/>
        <rFont val="ＭＳ Ｐゴシック"/>
        <family val="3"/>
      </rPr>
      <t>消費税区分</t>
    </r>
  </si>
  <si>
    <r>
      <rPr>
        <sz val="6"/>
        <rFont val="ＭＳ Ｐゴシック"/>
        <family val="3"/>
      </rPr>
      <t>一般・社会人に対する謝金</t>
    </r>
  </si>
  <si>
    <r>
      <rPr>
        <sz val="6"/>
        <rFont val="ＭＳ Ｐゴシック"/>
        <family val="3"/>
      </rPr>
      <t>会議出席謝金</t>
    </r>
  </si>
  <si>
    <r>
      <rPr>
        <sz val="6"/>
        <rFont val="ＭＳ Ｐゴシック"/>
        <family val="3"/>
      </rPr>
      <t>回</t>
    </r>
  </si>
  <si>
    <r>
      <rPr>
        <sz val="6"/>
        <rFont val="ＭＳ Ｐゴシック"/>
        <family val="3"/>
      </rPr>
      <t xml:space="preserve">月額表乙
</t>
    </r>
    <r>
      <rPr>
        <sz val="5.5"/>
        <rFont val="ＭＳ Ｐゴシック"/>
        <family val="3"/>
      </rPr>
      <t>（代理者も同様）</t>
    </r>
  </si>
  <si>
    <r>
      <rPr>
        <sz val="6"/>
        <rFont val="ＭＳ Ｐゴシック"/>
        <family val="3"/>
      </rPr>
      <t>不課税</t>
    </r>
  </si>
  <si>
    <r>
      <rPr>
        <sz val="6"/>
        <rFont val="ＭＳ Ｐゴシック"/>
        <family val="3"/>
      </rPr>
      <t xml:space="preserve">・204条非該当
</t>
    </r>
    <r>
      <rPr>
        <sz val="6"/>
        <rFont val="ＭＳ Ｐゴシック"/>
        <family val="3"/>
      </rPr>
      <t xml:space="preserve">・183条該当
</t>
    </r>
    <r>
      <rPr>
        <sz val="6"/>
        <rFont val="ＭＳ Ｐゴシック"/>
        <family val="3"/>
      </rPr>
      <t>・非居住者が国内で実施する場合、人的役務の提供にあたり委嘱契約を問わず 20.42％</t>
    </r>
  </si>
  <si>
    <r>
      <rPr>
        <sz val="6"/>
        <rFont val="ＭＳ Ｐゴシック"/>
        <family val="3"/>
      </rPr>
      <t>開催概要やパンフレットなど開 催・実施の事実がわかる資料</t>
    </r>
  </si>
  <si>
    <r>
      <rPr>
        <sz val="6"/>
        <rFont val="ＭＳ Ｐゴシック"/>
        <family val="3"/>
      </rPr>
      <t>対談・座談会出席謝金</t>
    </r>
  </si>
  <si>
    <r>
      <rPr>
        <sz val="6"/>
        <rFont val="ＭＳ Ｐゴシック"/>
        <family val="3"/>
      </rPr>
      <t>印刷物、メディアに掲載する内容である場合</t>
    </r>
  </si>
  <si>
    <r>
      <rPr>
        <sz val="6"/>
        <rFont val="ＭＳ Ｐゴシック"/>
        <family val="3"/>
      </rPr>
      <t>課税</t>
    </r>
  </si>
  <si>
    <r>
      <rPr>
        <sz val="6"/>
        <rFont val="ＭＳ Ｐゴシック"/>
        <family val="3"/>
      </rPr>
      <t xml:space="preserve">・成果が著作物に該当すれば204条該当
</t>
    </r>
    <r>
      <rPr>
        <sz val="6"/>
        <rFont val="ＭＳ Ｐゴシック"/>
        <family val="3"/>
      </rPr>
      <t>・非居住者が国内で実施する場合、人的役務の提供にあたり著作物を問わず 20.42％</t>
    </r>
  </si>
  <si>
    <r>
      <rPr>
        <sz val="6"/>
        <rFont val="ＭＳ Ｐゴシック"/>
        <family val="3"/>
      </rPr>
      <t>学識経験者等の文化人、スポーツ関連の著名人</t>
    </r>
  </si>
  <si>
    <r>
      <rPr>
        <sz val="6"/>
        <rFont val="ＭＳ Ｐゴシック"/>
        <family val="3"/>
      </rPr>
      <t>広報誌[Tsukuba Communications]の特別対談</t>
    </r>
  </si>
  <si>
    <r>
      <rPr>
        <sz val="6"/>
        <rFont val="ＭＳ Ｐゴシック"/>
        <family val="3"/>
      </rPr>
      <t>上記以外の場合</t>
    </r>
  </si>
  <si>
    <r>
      <rPr>
        <sz val="6"/>
        <rFont val="ＭＳ Ｐゴシック"/>
        <family val="3"/>
      </rPr>
      <t>―</t>
    </r>
  </si>
  <si>
    <r>
      <rPr>
        <sz val="6"/>
        <rFont val="ＭＳ Ｐゴシック"/>
        <family val="3"/>
      </rPr>
      <t>講演謝金</t>
    </r>
  </si>
  <si>
    <r>
      <rPr>
        <sz val="6"/>
        <rFont val="ＭＳ Ｐゴシック"/>
        <family val="3"/>
      </rPr>
      <t>一般</t>
    </r>
  </si>
  <si>
    <r>
      <rPr>
        <sz val="6"/>
        <rFont val="ＭＳ Ｐゴシック"/>
        <family val="3"/>
      </rPr>
      <t>２時間程度</t>
    </r>
  </si>
  <si>
    <r>
      <rPr>
        <sz val="6"/>
        <rFont val="ＭＳ Ｐゴシック"/>
        <family val="3"/>
      </rPr>
      <t>204条該当</t>
    </r>
  </si>
  <si>
    <r>
      <rPr>
        <sz val="6"/>
        <rFont val="ＭＳ Ｐゴシック"/>
        <family val="3"/>
      </rPr>
      <t>学内</t>
    </r>
  </si>
  <si>
    <r>
      <rPr>
        <sz val="6"/>
        <rFont val="ＭＳ Ｐゴシック"/>
        <family val="3"/>
      </rPr>
      <t>大学長、文化功労者</t>
    </r>
  </si>
  <si>
    <r>
      <rPr>
        <sz val="6"/>
        <rFont val="ＭＳ Ｐゴシック"/>
        <family val="3"/>
      </rPr>
      <t>ノーベル賞受賞者</t>
    </r>
  </si>
  <si>
    <r>
      <rPr>
        <sz val="6"/>
        <rFont val="ＭＳ Ｐゴシック"/>
        <family val="3"/>
      </rPr>
      <t>講師謝金</t>
    </r>
  </si>
  <si>
    <r>
      <rPr>
        <sz val="6"/>
        <rFont val="ＭＳ Ｐゴシック"/>
        <family val="3"/>
      </rPr>
      <t>母国語</t>
    </r>
  </si>
  <si>
    <r>
      <rPr>
        <sz val="6"/>
        <rFont val="ＭＳ Ｐゴシック"/>
        <family val="3"/>
      </rPr>
      <t>時間</t>
    </r>
  </si>
  <si>
    <r>
      <rPr>
        <sz val="6"/>
        <rFont val="ＭＳ Ｐゴシック"/>
        <family val="3"/>
      </rPr>
      <t>教職員を対象とした講習会等講師謝金</t>
    </r>
  </si>
  <si>
    <r>
      <rPr>
        <sz val="6"/>
        <rFont val="ＭＳ Ｐゴシック"/>
        <family val="3"/>
      </rPr>
      <t>外国語</t>
    </r>
  </si>
  <si>
    <r>
      <rPr>
        <sz val="6"/>
        <rFont val="ＭＳ Ｐゴシック"/>
        <family val="3"/>
      </rPr>
      <t>指導、助言、実技、実習等謝金</t>
    </r>
  </si>
  <si>
    <r>
      <rPr>
        <sz val="6"/>
        <rFont val="ＭＳ Ｐゴシック"/>
        <family val="3"/>
      </rPr>
      <t>（テープ吹込要員を含む。）</t>
    </r>
  </si>
  <si>
    <r>
      <rPr>
        <sz val="6"/>
        <rFont val="ＭＳ Ｐゴシック"/>
        <family val="3"/>
      </rPr>
      <t>審査謝金</t>
    </r>
  </si>
  <si>
    <r>
      <rPr>
        <sz val="6"/>
        <rFont val="ＭＳ Ｐゴシック"/>
        <family val="3"/>
      </rPr>
      <t>会議形式の場合</t>
    </r>
  </si>
  <si>
    <r>
      <rPr>
        <sz val="6"/>
        <rFont val="ＭＳ Ｐゴシック"/>
        <family val="3"/>
      </rPr>
      <t xml:space="preserve">・204条非該当
</t>
    </r>
    <r>
      <rPr>
        <sz val="6"/>
        <rFont val="ＭＳ Ｐゴシック"/>
        <family val="3"/>
      </rPr>
      <t xml:space="preserve">・会議形式により時間的場所的拘束がある場合183条該当
</t>
    </r>
    <r>
      <rPr>
        <sz val="6"/>
        <rFont val="ＭＳ Ｐゴシック"/>
        <family val="3"/>
      </rPr>
      <t>・非居住者が国内で実施する場合、人的役務の提供にあたり会議形式を問わず 20.42％</t>
    </r>
  </si>
  <si>
    <r>
      <rPr>
        <sz val="6"/>
        <rFont val="ＭＳ Ｐゴシック"/>
        <family val="3"/>
      </rPr>
      <t>会議形式によらない場合</t>
    </r>
  </si>
  <si>
    <r>
      <rPr>
        <sz val="6"/>
        <rFont val="ＭＳ Ｐゴシック"/>
        <family val="3"/>
      </rPr>
      <t>学位論文審査謝金</t>
    </r>
  </si>
  <si>
    <r>
      <rPr>
        <sz val="6"/>
        <rFont val="ＭＳ Ｐゴシック"/>
        <family val="3"/>
      </rPr>
      <t>月額表乙</t>
    </r>
  </si>
  <si>
    <r>
      <rPr>
        <sz val="6"/>
        <rFont val="ＭＳ Ｐゴシック"/>
        <family val="3"/>
      </rPr>
      <t xml:space="preserve">・204条非該当
</t>
    </r>
    <r>
      <rPr>
        <sz val="6"/>
        <rFont val="ＭＳ Ｐゴシック"/>
        <family val="3"/>
      </rPr>
      <t>・時間的拘束がある場合183条該当</t>
    </r>
  </si>
  <si>
    <r>
      <rPr>
        <sz val="6"/>
        <rFont val="ＭＳ Ｐゴシック"/>
        <family val="3"/>
      </rPr>
      <t>外部評価謝金</t>
    </r>
  </si>
  <si>
    <r>
      <rPr>
        <sz val="6"/>
        <rFont val="ＭＳ Ｐゴシック"/>
        <family val="3"/>
      </rPr>
      <t>自己点検・評価指導・助言謝金</t>
    </r>
  </si>
  <si>
    <r>
      <rPr>
        <sz val="6"/>
        <rFont val="ＭＳ Ｐゴシック"/>
        <family val="3"/>
      </rPr>
      <t>同時通訳謝金</t>
    </r>
  </si>
  <si>
    <r>
      <rPr>
        <sz val="6"/>
        <rFont val="ＭＳ Ｐゴシック"/>
        <family val="3"/>
      </rPr>
      <t>英語</t>
    </r>
  </si>
  <si>
    <r>
      <rPr>
        <sz val="6"/>
        <rFont val="ＭＳ Ｐゴシック"/>
        <family val="3"/>
      </rPr>
      <t>日</t>
    </r>
  </si>
  <si>
    <r>
      <rPr>
        <sz val="6"/>
        <rFont val="ＭＳ Ｐゴシック"/>
        <family val="3"/>
      </rPr>
      <t>その他の外国語</t>
    </r>
  </si>
  <si>
    <r>
      <rPr>
        <sz val="6"/>
        <rFont val="ＭＳ Ｐゴシック"/>
        <family val="3"/>
      </rPr>
      <t>逐次通訳謝金</t>
    </r>
  </si>
  <si>
    <r>
      <rPr>
        <sz val="6"/>
        <rFont val="ＭＳ Ｐゴシック"/>
        <family val="3"/>
      </rPr>
      <t>手話通訳謝金</t>
    </r>
  </si>
  <si>
    <r>
      <rPr>
        <sz val="6"/>
        <rFont val="ＭＳ Ｐゴシック"/>
        <family val="3"/>
      </rPr>
      <t xml:space="preserve">・204条非該当
</t>
    </r>
    <r>
      <rPr>
        <sz val="6"/>
        <rFont val="ＭＳ Ｐゴシック"/>
        <family val="3"/>
      </rPr>
      <t>・非居住者が国内で実施する場合、人的役務の提供にあたり 20.42％</t>
    </r>
  </si>
  <si>
    <r>
      <rPr>
        <sz val="6"/>
        <rFont val="ＭＳ Ｐゴシック"/>
        <family val="3"/>
      </rPr>
      <t>被験者謝金</t>
    </r>
  </si>
  <si>
    <r>
      <rPr>
        <sz val="6"/>
        <rFont val="ＭＳ Ｐゴシック"/>
        <family val="3"/>
      </rPr>
      <t>臨床研究（交通費込）</t>
    </r>
  </si>
  <si>
    <r>
      <rPr>
        <sz val="6"/>
        <rFont val="ＭＳ Ｐゴシック"/>
        <family val="3"/>
      </rPr>
      <t>雑所得</t>
    </r>
  </si>
  <si>
    <r>
      <rPr>
        <sz val="6"/>
        <rFont val="ＭＳ Ｐゴシック"/>
        <family val="3"/>
      </rPr>
      <t>肉体・精神的な負担軽減等のための謝礼（心拍数・血圧計測、実験協力、アンケート協力等）</t>
    </r>
  </si>
  <si>
    <t>－</t>
  </si>
  <si>
    <r>
      <rPr>
        <sz val="6"/>
        <rFont val="ＭＳ Ｐゴシック"/>
        <family val="3"/>
      </rPr>
      <t>国立大学法人筑波大学本部等非常勤職員の勤務時間及び報酬に関する規則（平成17年法人規則第11号）別表第13に定める事務補佐員・技術補佐員に準ずる額。</t>
    </r>
  </si>
  <si>
    <r>
      <rPr>
        <sz val="6"/>
        <rFont val="ＭＳ Ｐゴシック"/>
        <family val="3"/>
      </rPr>
      <t>学生に対する謝金</t>
    </r>
  </si>
  <si>
    <r>
      <rPr>
        <sz val="6"/>
        <rFont val="ＭＳ Ｐゴシック"/>
        <family val="3"/>
      </rPr>
      <t>教育研究協力謝金</t>
    </r>
  </si>
  <si>
    <r>
      <rPr>
        <sz val="6"/>
        <rFont val="ＭＳ Ｐゴシック"/>
        <family val="3"/>
      </rPr>
      <t>継続して２か月以内の場合</t>
    </r>
  </si>
  <si>
    <r>
      <rPr>
        <sz val="6"/>
        <rFont val="ＭＳ Ｐゴシック"/>
        <family val="3"/>
      </rPr>
      <t>－</t>
    </r>
  </si>
  <si>
    <r>
      <rPr>
        <sz val="5.5"/>
        <rFont val="ＭＳ Ｐゴシック"/>
        <family val="3"/>
      </rPr>
      <t xml:space="preserve">国立大学法人筑波大学本部等非常勤職員の勤務時間及び報酬に関する規則
</t>
    </r>
    <r>
      <rPr>
        <sz val="5.5"/>
        <rFont val="ＭＳ Ｐゴシック"/>
        <family val="3"/>
      </rPr>
      <t xml:space="preserve">（平成17年法人規則第11号）別表第13に定める事務補佐員・技術補佐員に準ずる額。
</t>
    </r>
    <r>
      <rPr>
        <sz val="5.5"/>
        <rFont val="ＭＳ Ｐゴシック"/>
        <family val="3"/>
      </rPr>
      <t>※指揮命令があるなど短期雇用とすべきものは不可</t>
    </r>
  </si>
  <si>
    <r>
      <rPr>
        <sz val="6"/>
        <rFont val="ＭＳ Ｐゴシック"/>
        <family val="3"/>
      </rPr>
      <t>日額表丙</t>
    </r>
  </si>
  <si>
    <r>
      <rPr>
        <sz val="5.5"/>
        <rFont val="ＭＳ Ｐゴシック"/>
        <family val="3"/>
      </rPr>
      <t>作業日報など実施の事実が分かる資料</t>
    </r>
  </si>
  <si>
    <r>
      <rPr>
        <sz val="6"/>
        <rFont val="ＭＳ Ｐゴシック"/>
        <family val="3"/>
      </rPr>
      <t>継続して２か月を超える場合</t>
    </r>
  </si>
  <si>
    <r>
      <rPr>
        <sz val="6"/>
        <rFont val="ＭＳ Ｐゴシック"/>
        <family val="3"/>
      </rPr>
      <t>チューター謝金</t>
    </r>
  </si>
  <si>
    <r>
      <rPr>
        <sz val="6"/>
        <rFont val="ＭＳ Ｐゴシック"/>
        <family val="3"/>
      </rPr>
      <t>あらかじめ２ヶ月を超える期間を定める場合</t>
    </r>
  </si>
  <si>
    <r>
      <rPr>
        <sz val="6"/>
        <rFont val="ＭＳ Ｐゴシック"/>
        <family val="3"/>
      </rPr>
      <t>請負的要素を持つ謝金</t>
    </r>
  </si>
  <si>
    <r>
      <rPr>
        <sz val="6"/>
        <rFont val="ＭＳ Ｐゴシック"/>
        <family val="3"/>
      </rPr>
      <t>原稿謝金</t>
    </r>
  </si>
  <si>
    <r>
      <rPr>
        <sz val="6"/>
        <rFont val="ＭＳ Ｐゴシック"/>
        <family val="3"/>
      </rPr>
      <t>枚</t>
    </r>
  </si>
  <si>
    <r>
      <rPr>
        <sz val="6"/>
        <rFont val="ＭＳ Ｐゴシック"/>
        <family val="3"/>
      </rPr>
      <t>日本語等４００字英語等２００ワード</t>
    </r>
  </si>
  <si>
    <r>
      <rPr>
        <sz val="6"/>
        <rFont val="ＭＳ Ｐゴシック"/>
        <family val="3"/>
      </rPr>
      <t xml:space="preserve">・204条該当
</t>
    </r>
    <r>
      <rPr>
        <sz val="6"/>
        <rFont val="ＭＳ Ｐゴシック"/>
        <family val="3"/>
      </rPr>
      <t>・非居住者が外国で行った場合、成果が著作物に該当すれば20.42％</t>
    </r>
  </si>
  <si>
    <r>
      <rPr>
        <sz val="6"/>
        <rFont val="ＭＳ Ｐゴシック"/>
        <family val="3"/>
      </rPr>
      <t>成果物の写しなど実施の事実が分かる資料</t>
    </r>
  </si>
  <si>
    <r>
      <rPr>
        <sz val="6"/>
        <rFont val="ＭＳ Ｐゴシック"/>
        <family val="3"/>
      </rPr>
      <t xml:space="preserve">思想文献等
</t>
    </r>
    <r>
      <rPr>
        <sz val="6"/>
        <rFont val="ＭＳ Ｐゴシック"/>
        <family val="3"/>
      </rPr>
      <t>日本語等４００字英語等２００ワード</t>
    </r>
  </si>
  <si>
    <r>
      <rPr>
        <sz val="6"/>
        <rFont val="ＭＳ Ｐゴシック"/>
        <family val="3"/>
      </rPr>
      <t>グラビア</t>
    </r>
  </si>
  <si>
    <r>
      <rPr>
        <sz val="6"/>
        <rFont val="ＭＳ Ｐゴシック"/>
        <family val="3"/>
      </rPr>
      <t>頁</t>
    </r>
  </si>
  <si>
    <r>
      <rPr>
        <sz val="6"/>
        <rFont val="ＭＳ Ｐゴシック"/>
        <family val="3"/>
      </rPr>
      <t>翻訳謝金</t>
    </r>
  </si>
  <si>
    <r>
      <rPr>
        <sz val="6"/>
        <rFont val="ＭＳ Ｐゴシック"/>
        <family val="3"/>
      </rPr>
      <t>英文→和文</t>
    </r>
  </si>
  <si>
    <r>
      <rPr>
        <sz val="6"/>
        <rFont val="ＭＳ Ｐゴシック"/>
        <family val="3"/>
      </rPr>
      <t>和文４００字</t>
    </r>
  </si>
  <si>
    <r>
      <rPr>
        <sz val="6"/>
        <rFont val="ＭＳ Ｐゴシック"/>
        <family val="3"/>
      </rPr>
      <t xml:space="preserve">・204条該当
</t>
    </r>
    <r>
      <rPr>
        <sz val="6"/>
        <rFont val="ＭＳ Ｐゴシック"/>
        <family val="3"/>
      </rPr>
      <t>・非居住者が外国で行った場合、著作物に該当するため 20.42％</t>
    </r>
  </si>
  <si>
    <r>
      <rPr>
        <sz val="6"/>
        <rFont val="ＭＳ Ｐゴシック"/>
        <family val="3"/>
      </rPr>
      <t>独仏西中韓文→和文</t>
    </r>
  </si>
  <si>
    <r>
      <rPr>
        <sz val="6"/>
        <rFont val="ＭＳ Ｐゴシック"/>
        <family val="3"/>
      </rPr>
      <t>その他の外国語→和文</t>
    </r>
  </si>
  <si>
    <r>
      <rPr>
        <sz val="6"/>
        <rFont val="ＭＳ Ｐゴシック"/>
        <family val="3"/>
      </rPr>
      <t>和文→英文</t>
    </r>
  </si>
  <si>
    <r>
      <rPr>
        <sz val="6"/>
        <rFont val="ＭＳ Ｐゴシック"/>
        <family val="3"/>
      </rPr>
      <t>外国語２００ワード</t>
    </r>
  </si>
  <si>
    <r>
      <rPr>
        <sz val="6"/>
        <rFont val="ＭＳ Ｐゴシック"/>
        <family val="3"/>
      </rPr>
      <t>和文→独仏西中韓文</t>
    </r>
  </si>
  <si>
    <r>
      <rPr>
        <sz val="6"/>
        <rFont val="ＭＳ Ｐゴシック"/>
        <family val="3"/>
      </rPr>
      <t>和文→その他の外国語</t>
    </r>
  </si>
  <si>
    <r>
      <rPr>
        <sz val="6"/>
        <rFont val="ＭＳ Ｐゴシック"/>
        <family val="3"/>
      </rPr>
      <t>外国語間</t>
    </r>
  </si>
  <si>
    <r>
      <rPr>
        <sz val="6"/>
        <rFont val="ＭＳ Ｐゴシック"/>
        <family val="3"/>
      </rPr>
      <t>２００ワード</t>
    </r>
  </si>
  <si>
    <r>
      <rPr>
        <sz val="6"/>
        <rFont val="ＭＳ Ｐゴシック"/>
        <family val="3"/>
      </rPr>
      <t>点訳謝金</t>
    </r>
  </si>
  <si>
    <r>
      <rPr>
        <sz val="6"/>
        <rFont val="ＭＳ Ｐゴシック"/>
        <family val="3"/>
      </rPr>
      <t>入試</t>
    </r>
  </si>
  <si>
    <r>
      <rPr>
        <sz val="6"/>
        <rFont val="ＭＳ Ｐゴシック"/>
        <family val="3"/>
      </rPr>
      <t>204条非該当</t>
    </r>
  </si>
  <si>
    <r>
      <rPr>
        <sz val="6"/>
        <rFont val="ＭＳ Ｐゴシック"/>
        <family val="3"/>
      </rPr>
      <t>３２字詰</t>
    </r>
  </si>
  <si>
    <r>
      <rPr>
        <sz val="6"/>
        <rFont val="ＭＳ Ｐゴシック"/>
        <family val="3"/>
      </rPr>
      <t>校閲謝金</t>
    </r>
  </si>
  <si>
    <r>
      <rPr>
        <sz val="6"/>
        <rFont val="ＭＳ Ｐゴシック"/>
        <family val="3"/>
      </rPr>
      <t>原稿・翻訳・点訳に対する校閲とし、対象とするものを原稿・翻訳・点訳（一般）謝金の区分及び備考で分類し当該謝金単価の２分の１の額を校閲謝金の単価とする。</t>
    </r>
  </si>
  <si>
    <r>
      <rPr>
        <sz val="6"/>
        <rFont val="ＭＳ Ｐゴシック"/>
        <family val="3"/>
      </rPr>
      <t>揮毫謝金</t>
    </r>
  </si>
  <si>
    <r>
      <rPr>
        <sz val="6"/>
        <rFont val="ＭＳ Ｐゴシック"/>
        <family val="3"/>
      </rPr>
      <t>（表紙、原画等デザイン性のあるもの）</t>
    </r>
  </si>
  <si>
    <r>
      <rPr>
        <sz val="6"/>
        <rFont val="ＭＳ Ｐゴシック"/>
        <family val="3"/>
      </rPr>
      <t>（表彰状、卒業証書等デザイン性のないもの）</t>
    </r>
  </si>
  <si>
    <r>
      <rPr>
        <sz val="6"/>
        <rFont val="ＭＳ Ｐゴシック"/>
        <family val="3"/>
      </rPr>
      <t>実績額を参考にして定める。</t>
    </r>
  </si>
  <si>
    <r>
      <rPr>
        <sz val="6"/>
        <rFont val="ＭＳ Ｐゴシック"/>
        <family val="3"/>
      </rPr>
      <t>その他の謝金</t>
    </r>
  </si>
  <si>
    <r>
      <rPr>
        <sz val="6"/>
        <rFont val="ＭＳ Ｐゴシック"/>
        <family val="3"/>
      </rPr>
      <t>健康診断謝金</t>
    </r>
  </si>
  <si>
    <r>
      <rPr>
        <sz val="6"/>
        <rFont val="ＭＳ Ｐゴシック"/>
        <family val="3"/>
      </rPr>
      <t>医師</t>
    </r>
  </si>
  <si>
    <r>
      <rPr>
        <sz val="6"/>
        <rFont val="ＭＳ Ｐゴシック"/>
        <family val="3"/>
      </rPr>
      <t xml:space="preserve">・204条非該当
</t>
    </r>
    <r>
      <rPr>
        <sz val="6"/>
        <rFont val="ＭＳ Ｐゴシック"/>
        <family val="3"/>
      </rPr>
      <t>・時間的拘束があるため183条該当</t>
    </r>
  </si>
  <si>
    <r>
      <rPr>
        <sz val="6"/>
        <rFont val="ＭＳ Ｐゴシック"/>
        <family val="3"/>
      </rPr>
      <t>作業日報など実施の事実が分かる資料</t>
    </r>
  </si>
  <si>
    <r>
      <rPr>
        <sz val="6"/>
        <rFont val="ＭＳ Ｐゴシック"/>
        <family val="3"/>
      </rPr>
      <t>診療放射線技師</t>
    </r>
  </si>
  <si>
    <r>
      <rPr>
        <sz val="6"/>
        <rFont val="ＭＳ Ｐゴシック"/>
        <family val="3"/>
      </rPr>
      <t>臨床検査技師</t>
    </r>
  </si>
  <si>
    <r>
      <rPr>
        <sz val="6"/>
        <rFont val="ＭＳ Ｐゴシック"/>
        <family val="3"/>
      </rPr>
      <t>看護師</t>
    </r>
  </si>
  <si>
    <r>
      <rPr>
        <sz val="6"/>
        <rFont val="ＭＳ Ｐゴシック"/>
        <family val="3"/>
      </rPr>
      <t>栄養士謝金</t>
    </r>
  </si>
  <si>
    <r>
      <rPr>
        <sz val="6"/>
        <rFont val="ＭＳ Ｐゴシック"/>
        <family val="3"/>
      </rPr>
      <t>管理</t>
    </r>
  </si>
  <si>
    <r>
      <rPr>
        <sz val="6"/>
        <rFont val="ＭＳ Ｐゴシック"/>
        <family val="3"/>
      </rPr>
      <t>解剖体収集協力謝金</t>
    </r>
  </si>
  <si>
    <r>
      <rPr>
        <sz val="6"/>
        <rFont val="ＭＳ Ｐゴシック"/>
        <family val="3"/>
      </rPr>
      <t>体</t>
    </r>
  </si>
  <si>
    <r>
      <rPr>
        <sz val="6"/>
        <rFont val="ＭＳ Ｐゴシック"/>
        <family val="3"/>
      </rPr>
      <t>解剖体祭祀料</t>
    </r>
  </si>
  <si>
    <r>
      <rPr>
        <sz val="6"/>
        <rFont val="ＭＳ Ｐゴシック"/>
        <family val="3"/>
      </rPr>
      <t>高難度手術指導</t>
    </r>
  </si>
  <si>
    <r>
      <rPr>
        <sz val="6"/>
        <rFont val="ＭＳ Ｐゴシック"/>
        <family val="3"/>
      </rPr>
      <t>附属病院長が招聘するものに限る</t>
    </r>
  </si>
  <si>
    <r>
      <rPr>
        <sz val="6"/>
        <rFont val="ＭＳ Ｐゴシック"/>
        <family val="3"/>
      </rPr>
      <t>実施の事実が分かる資料</t>
    </r>
  </si>
  <si>
    <r>
      <rPr>
        <sz val="7.5"/>
        <rFont val="ＭＳ Ｐゴシック"/>
        <family val="3"/>
      </rPr>
      <t>●  この額により難い場合には、その都度、謝金単価の算出根拠を作成（根拠資料必須）し財務部へ協議（専決者：財務制度企画課長）すること。なお、その場合の支出においても、添付資料欄を参考に実施の事実が分かる資料を添付すること。</t>
    </r>
  </si>
  <si>
    <r>
      <rPr>
        <sz val="7.5"/>
        <rFont val="ＭＳ Ｐゴシック"/>
        <family val="3"/>
      </rPr>
      <t>●  消費税区分は国内での業務について記載しています。外国で行った業務については原則不課税となります。</t>
    </r>
  </si>
  <si>
    <r>
      <rPr>
        <sz val="7.5"/>
        <rFont val="ＭＳ Ｐゴシック"/>
        <family val="3"/>
      </rPr>
      <t>●  令和１９年１２月３１日までの間に生ずる所得については、復興特別所得税(所得税額の2.1％)を併せて徴収します。</t>
    </r>
  </si>
  <si>
    <r>
      <rPr>
        <sz val="7.5"/>
        <rFont val="ＭＳ Ｐゴシック"/>
        <family val="3"/>
      </rPr>
      <t>●  居住者に支払う報酬料金（源泉徴収税10.21％）の場合は、付随して発生する旅費も含め、10.21％になります。</t>
    </r>
  </si>
  <si>
    <r>
      <rPr>
        <sz val="7.5"/>
        <rFont val="ＭＳ Ｐゴシック"/>
        <family val="3"/>
      </rPr>
      <t xml:space="preserve">●  非居住者（外国人等）については、日本国内で稼得した「国内源泉所得」のみ課税対象（付随して発生する旅費も含む）となり、源泉徴収税率は、20.42％になります。ただし、非居住者が外国で行う役務であっても、成果が著作物に該当する場合は源泉徴収（20.42％）します。（上記備考欄参照）
</t>
    </r>
    <r>
      <rPr>
        <sz val="7.5"/>
        <rFont val="ＭＳ Ｐゴシック"/>
        <family val="3"/>
      </rPr>
      <t xml:space="preserve">「国内源泉所得」の範囲については、国税庁のホームページ https://www.nta.go.jp/taxes/shiraberu/taxanswer/gensen/2878.htm に記載さ
</t>
    </r>
    <r>
      <rPr>
        <sz val="7.5"/>
        <rFont val="ＭＳ Ｐゴシック"/>
        <family val="3"/>
      </rPr>
      <t>れています。</t>
    </r>
  </si>
  <si>
    <r>
      <rPr>
        <sz val="7.5"/>
        <rFont val="ＭＳ Ｐゴシック"/>
        <family val="3"/>
      </rPr>
      <t>●  源泉徴収税の免除については、 「8-2-1謝金の支給手続き  ２支給の取扱い（４）租税条約について」 を確認してください。</t>
    </r>
  </si>
  <si>
    <t>No.</t>
  </si>
  <si>
    <t>起案No.</t>
    <rPh sb="0" eb="2">
      <t>キアン</t>
    </rPh>
    <phoneticPr fontId="29"/>
  </si>
  <si>
    <t>起案日</t>
    <rPh sb="0" eb="2">
      <t>キアン</t>
    </rPh>
    <rPh sb="2" eb="3">
      <t>ビ</t>
    </rPh>
    <phoneticPr fontId="29"/>
  </si>
  <si>
    <t>送付日</t>
    <rPh sb="0" eb="2">
      <t>ソウフ</t>
    </rPh>
    <rPh sb="2" eb="3">
      <t>ビ</t>
    </rPh>
    <phoneticPr fontId="29"/>
  </si>
  <si>
    <t>会計年度</t>
    <rPh sb="0" eb="2">
      <t>カイケイ</t>
    </rPh>
    <rPh sb="2" eb="4">
      <t>ネンド</t>
    </rPh>
    <phoneticPr fontId="29"/>
  </si>
  <si>
    <t>域</t>
  </si>
  <si>
    <t>職</t>
  </si>
  <si>
    <t>所管（依頼者）</t>
  </si>
  <si>
    <t>財源</t>
  </si>
  <si>
    <t>プロジェクトコード</t>
  </si>
  <si>
    <t>プロジェクト名</t>
  </si>
  <si>
    <t>所属住所</t>
  </si>
  <si>
    <t>（自宅住所）</t>
  </si>
  <si>
    <t>所属名</t>
  </si>
  <si>
    <t>職名</t>
  </si>
  <si>
    <t>氏名</t>
  </si>
  <si>
    <t>所属長</t>
  </si>
  <si>
    <t>出張日（開始）</t>
  </si>
  <si>
    <t>出張日（終了）</t>
  </si>
  <si>
    <t>出張時間（開始）</t>
  </si>
  <si>
    <t>出張時間（終了）</t>
  </si>
  <si>
    <t>日数</t>
  </si>
  <si>
    <t>時間数</t>
  </si>
  <si>
    <t>出張先</t>
  </si>
  <si>
    <t>出張先住所</t>
  </si>
  <si>
    <t>用務</t>
  </si>
  <si>
    <t>出張の有無</t>
  </si>
  <si>
    <t>指導演目（目的）</t>
  </si>
  <si>
    <t>対象</t>
    <rPh sb="0" eb="2">
      <t>タイショウ</t>
    </rPh>
    <phoneticPr fontId="29"/>
  </si>
  <si>
    <t>申請種別</t>
    <rPh sb="0" eb="2">
      <t>シンセイ</t>
    </rPh>
    <rPh sb="2" eb="4">
      <t>シュベツ</t>
    </rPh>
    <phoneticPr fontId="29"/>
  </si>
  <si>
    <t>謝金支給</t>
    <rPh sb="0" eb="2">
      <t>シャキン</t>
    </rPh>
    <rPh sb="2" eb="4">
      <t>シキュウ</t>
    </rPh>
    <phoneticPr fontId="29"/>
  </si>
  <si>
    <t>謝金金額</t>
    <rPh sb="0" eb="2">
      <t>シャキン</t>
    </rPh>
    <rPh sb="2" eb="4">
      <t>キンガク</t>
    </rPh>
    <phoneticPr fontId="29"/>
  </si>
  <si>
    <t>源泉後の金額</t>
    <rPh sb="0" eb="2">
      <t>ゲンセン</t>
    </rPh>
    <rPh sb="2" eb="3">
      <t>ゴ</t>
    </rPh>
    <rPh sb="4" eb="6">
      <t>キンガク</t>
    </rPh>
    <phoneticPr fontId="29"/>
  </si>
  <si>
    <t>国籍</t>
    <rPh sb="0" eb="2">
      <t>コクセキ</t>
    </rPh>
    <phoneticPr fontId="29"/>
  </si>
  <si>
    <t>実験参加者</t>
    <rPh sb="0" eb="5">
      <t>ジッケンサンカシャ</t>
    </rPh>
    <phoneticPr fontId="14"/>
  </si>
  <si>
    <t>用務マスタ</t>
    <rPh sb="0" eb="2">
      <t>ヨウム</t>
    </rPh>
    <phoneticPr fontId="14"/>
  </si>
  <si>
    <t>講演</t>
    <rPh sb="0" eb="2">
      <t>コウエン</t>
    </rPh>
    <phoneticPr fontId="14"/>
  </si>
  <si>
    <t>指導・助言</t>
    <rPh sb="0" eb="2">
      <t>シドウ</t>
    </rPh>
    <rPh sb="3" eb="5">
      <t>ジョゲン</t>
    </rPh>
    <phoneticPr fontId="14"/>
  </si>
  <si>
    <t>対談</t>
    <rPh sb="0" eb="2">
      <t>タイダン</t>
    </rPh>
    <phoneticPr fontId="14"/>
  </si>
  <si>
    <t>原稿</t>
    <rPh sb="0" eb="2">
      <t>ゲンコウ</t>
    </rPh>
    <phoneticPr fontId="14"/>
  </si>
  <si>
    <t>翻訳</t>
    <rPh sb="0" eb="2">
      <t>ホンヤク</t>
    </rPh>
    <phoneticPr fontId="14"/>
  </si>
  <si>
    <t>校閲</t>
    <rPh sb="0" eb="2">
      <t>コウエツ</t>
    </rPh>
    <phoneticPr fontId="14"/>
  </si>
  <si>
    <t>逐次通訳</t>
    <rPh sb="0" eb="4">
      <t>チクジツウヤク</t>
    </rPh>
    <phoneticPr fontId="14"/>
  </si>
  <si>
    <t>同時通訳</t>
    <rPh sb="0" eb="4">
      <t>ドウジツウヤク</t>
    </rPh>
    <phoneticPr fontId="14"/>
  </si>
  <si>
    <t>（その他1）</t>
    <rPh sb="3" eb="4">
      <t>タ</t>
    </rPh>
    <phoneticPr fontId="14"/>
  </si>
  <si>
    <t>会議出席</t>
    <rPh sb="0" eb="4">
      <t>カイギシュッセキ</t>
    </rPh>
    <phoneticPr fontId="14"/>
  </si>
  <si>
    <t>審査・査読</t>
    <rPh sb="0" eb="2">
      <t>シンサ</t>
    </rPh>
    <rPh sb="3" eb="5">
      <t>サドク</t>
    </rPh>
    <phoneticPr fontId="14"/>
  </si>
  <si>
    <t>教育研究協力</t>
    <rPh sb="0" eb="6">
      <t>キョウイクケンキュウキョウリョク</t>
    </rPh>
    <phoneticPr fontId="14"/>
  </si>
  <si>
    <t>チューター</t>
    <phoneticPr fontId="14"/>
  </si>
  <si>
    <t>被験者</t>
    <rPh sb="0" eb="3">
      <t>ヒケンシャ</t>
    </rPh>
    <phoneticPr fontId="14"/>
  </si>
  <si>
    <t>健康診断</t>
    <rPh sb="0" eb="4">
      <t>ケンコウシンダン</t>
    </rPh>
    <phoneticPr fontId="14"/>
  </si>
  <si>
    <t>栄養士</t>
    <rPh sb="0" eb="3">
      <t>エイヨウシ</t>
    </rPh>
    <phoneticPr fontId="14"/>
  </si>
  <si>
    <t>（その他2）</t>
    <rPh sb="3" eb="4">
      <t>タ</t>
    </rPh>
    <phoneticPr fontId="14"/>
  </si>
  <si>
    <t>出張</t>
    <rPh sb="0" eb="2">
      <t>シュッチョウ</t>
    </rPh>
    <phoneticPr fontId="14"/>
  </si>
  <si>
    <t>教授</t>
    <rPh sb="0" eb="2">
      <t>キョウジュ</t>
    </rPh>
    <phoneticPr fontId="14"/>
  </si>
  <si>
    <t>111100000</t>
    <phoneticPr fontId="14"/>
  </si>
  <si>
    <t>系）〇〇　〇〇</t>
    <rPh sb="0" eb="1">
      <t>ケイ</t>
    </rPh>
    <phoneticPr fontId="14"/>
  </si>
  <si>
    <t>1192100000</t>
    <phoneticPr fontId="14"/>
  </si>
  <si>
    <t>科学研究費補助金</t>
    <phoneticPr fontId="14"/>
  </si>
  <si>
    <t>〇×に関する研究</t>
    <rPh sb="3" eb="4">
      <t>カン</t>
    </rPh>
    <rPh sb="6" eb="8">
      <t>ケンキュウ</t>
    </rPh>
    <phoneticPr fontId="14"/>
  </si>
  <si>
    <t>系）〇〇　〇〇</t>
    <phoneticPr fontId="14"/>
  </si>
  <si>
    <t>〇〇　〇〇</t>
    <phoneticPr fontId="14"/>
  </si>
  <si>
    <t>学内担当者
連絡先</t>
    <rPh sb="0" eb="2">
      <t>ガクナイ</t>
    </rPh>
    <rPh sb="2" eb="5">
      <t>タントウシャ</t>
    </rPh>
    <rPh sb="6" eb="9">
      <t>レンラクサキ</t>
    </rPh>
    <phoneticPr fontId="2"/>
  </si>
  <si>
    <t>内線1234</t>
    <rPh sb="0" eb="2">
      <t>ナイセン</t>
    </rPh>
    <phoneticPr fontId="14"/>
  </si>
  <si>
    <t>aaaaaa@un.tsukuba.ac.jp</t>
    <phoneticPr fontId="14"/>
  </si>
  <si>
    <t>社会工学域</t>
    <rPh sb="0" eb="4">
      <t>シャカイコウガク</t>
    </rPh>
    <rPh sb="4" eb="5">
      <t>イキ</t>
    </rPh>
    <phoneticPr fontId="14"/>
  </si>
  <si>
    <t>別紙のとおり</t>
    <rPh sb="0" eb="2">
      <t>ベッシ</t>
    </rPh>
    <phoneticPr fontId="14"/>
  </si>
  <si>
    <t>3A201</t>
    <phoneticPr fontId="14"/>
  </si>
  <si>
    <t>３A201</t>
    <phoneticPr fontId="14"/>
  </si>
  <si>
    <t>別紙のとおり</t>
    <rPh sb="0" eb="2">
      <t>ベッシ</t>
    </rPh>
    <phoneticPr fontId="14"/>
  </si>
  <si>
    <t>「〇〇の研究」に係る実験を実施する</t>
    <rPh sb="4" eb="6">
      <t>ケンキュウ</t>
    </rPh>
    <rPh sb="8" eb="9">
      <t>カカ</t>
    </rPh>
    <rPh sb="10" eb="12">
      <t>ジッケン</t>
    </rPh>
    <rPh sb="13" eb="15">
      <t>ジッシ</t>
    </rPh>
    <phoneticPr fontId="14"/>
  </si>
  <si>
    <t>2026R001</t>
    <phoneticPr fontId="14"/>
  </si>
  <si>
    <t>Amazonギフト券
（メールタイプ）</t>
    <rPh sb="9" eb="10">
      <t>ケン</t>
    </rPh>
    <phoneticPr fontId="14"/>
  </si>
  <si>
    <t>1名あたり1.5時間実施、1000円を支給、計10名を予定。</t>
    <rPh sb="10" eb="12">
      <t>ジッシ</t>
    </rPh>
    <rPh sb="17" eb="18">
      <t>エン</t>
    </rPh>
    <rPh sb="19" eb="21">
      <t>シキュウ</t>
    </rPh>
    <rPh sb="22" eb="23">
      <t>ケイ</t>
    </rPh>
    <phoneticPr fontId="14"/>
  </si>
  <si>
    <t>25H00001</t>
    <phoneticPr fontId="14"/>
  </si>
  <si>
    <t>期間中1日、各日1.5時間</t>
    <rPh sb="0" eb="3">
      <t>キカンチュウ</t>
    </rPh>
    <rPh sb="4" eb="5">
      <t>ニチ</t>
    </rPh>
    <rPh sb="6" eb="8">
      <t>カクニチ</t>
    </rPh>
    <rPh sb="11" eb="13">
      <t>ジカン</t>
    </rPh>
    <phoneticPr fontId="14"/>
  </si>
  <si>
    <t>科研費（基盤研究（Ｂ）25H00001）遂行のため、「○○○〇（※倫理審査の課題名）」の実験を行う。</t>
    <rPh sb="20" eb="22">
      <t>スイコウ</t>
    </rPh>
    <rPh sb="33" eb="35">
      <t>リンリ</t>
    </rPh>
    <rPh sb="35" eb="37">
      <t>シンサ</t>
    </rPh>
    <rPh sb="38" eb="40">
      <t>カダイ</t>
    </rPh>
    <rPh sb="40" eb="41">
      <t>メイ</t>
    </rPh>
    <rPh sb="44" eb="46">
      <t>ジッケン</t>
    </rPh>
    <rPh sb="47" eb="48">
      <t>オコナ</t>
    </rPh>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</si>
</sst>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411]ggge&quot;年&quot;m&quot;月&quot;d&quot;日&quot;\(aaa\)"/>
    <numFmt numFmtId="177" formatCode="h:mm;@"/>
  </numFmts>
  <fonts count="45">
    <font>
      <sz val="11"/>
      <color theme="1"/>
      <name val="ＭＳ Ｐ明朝"/>
      <family val="1"/>
      <charset val="128"/>
      <scheme val="minor"/>
    </font>
    <font>
      <sz val="11"/>
      <color theme="1"/>
      <name val="ＭＳ Ｐ明朝"/>
      <family val="2"/>
      <charset val="128"/>
      <scheme val="minor"/>
    </font>
    <font>
      <sz val="6"/>
      <name val="ＭＳ Ｐ明朝"/>
      <family val="1"/>
      <charset val="128"/>
    </font>
    <font>
      <sz val="11"/>
      <name val="ＭＳ Ｐゴシック"/>
      <family val="3"/>
      <charset val="128"/>
    </font>
    <font>
      <sz val="9"/>
      <color indexed="8"/>
      <name val="ＭＳ Ｐ明朝"/>
      <family val="1"/>
      <charset val="128"/>
    </font>
    <font>
      <sz val="11"/>
      <color theme="1"/>
      <name val="ＭＳ Ｐ明朝"/>
      <family val="1"/>
      <charset val="128"/>
      <scheme val="minor"/>
    </font>
    <font>
      <b/>
      <sz val="13"/>
      <color theme="3"/>
      <name val="ＭＳ Ｐ明朝"/>
      <family val="1"/>
      <charset val="128"/>
      <scheme val="minor"/>
    </font>
    <font>
      <sz val="11"/>
      <color theme="1"/>
      <name val="ＭＳ Ｐ明朝"/>
      <family val="1"/>
      <charset val="128"/>
    </font>
    <font>
      <sz val="10"/>
      <color theme="1"/>
      <name val="ＭＳ Ｐ明朝"/>
      <family val="1"/>
      <charset val="128"/>
    </font>
    <font>
      <sz val="8"/>
      <color theme="1"/>
      <name val="ＭＳ Ｐ明朝"/>
      <family val="1"/>
      <charset val="128"/>
    </font>
    <font>
      <sz val="9"/>
      <color theme="1"/>
      <name val="ＭＳ Ｐ明朝"/>
      <family val="1"/>
      <charset val="128"/>
    </font>
    <font>
      <sz val="11"/>
      <color rgb="FFFF0000"/>
      <name val="ＭＳ Ｐ明朝"/>
      <family val="1"/>
      <charset val="128"/>
    </font>
    <font>
      <sz val="9"/>
      <color rgb="FFFF0000"/>
      <name val="ＭＳ Ｐ明朝"/>
      <family val="1"/>
      <charset val="128"/>
    </font>
    <font>
      <b/>
      <sz val="13"/>
      <color theme="3"/>
      <name val="ＭＳ Ｐ明朝"/>
      <family val="1"/>
      <charset val="128"/>
    </font>
    <font>
      <sz val="6"/>
      <name val="ＭＳ Ｐ明朝"/>
      <family val="1"/>
      <charset val="128"/>
      <scheme val="minor"/>
    </font>
    <font>
      <u/>
      <sz val="11"/>
      <color theme="10"/>
      <name val="ＭＳ Ｐ明朝"/>
      <family val="1"/>
      <charset val="128"/>
      <scheme val="minor"/>
    </font>
    <font>
      <sz val="7.5"/>
      <name val="ＭＳ Ｐゴシック"/>
      <family val="3"/>
      <charset val="128"/>
    </font>
    <font>
      <sz val="7.5"/>
      <name val="ＭＳ Ｐゴシック"/>
      <family val="3"/>
    </font>
    <font>
      <sz val="6"/>
      <name val="ＭＳ Ｐゴシック"/>
      <family val="3"/>
      <charset val="128"/>
    </font>
    <font>
      <sz val="6"/>
      <name val="ＭＳ Ｐゴシック"/>
      <family val="3"/>
    </font>
    <font>
      <sz val="6"/>
      <color rgb="FF000000"/>
      <name val="ＭＳ Ｐゴシック"/>
      <family val="2"/>
    </font>
    <font>
      <sz val="5.5"/>
      <name val="ＭＳ Ｐゴシック"/>
      <family val="3"/>
      <charset val="128"/>
    </font>
    <font>
      <sz val="5.5"/>
      <name val="ＭＳ Ｐゴシック"/>
      <family val="3"/>
    </font>
    <font>
      <b/>
      <sz val="7.5"/>
      <name val="ＭＳ Ｐゴシック"/>
      <family val="3"/>
      <charset val="128"/>
    </font>
    <font>
      <b/>
      <sz val="7.5"/>
      <name val="ＭＳ Ｐゴシック"/>
      <family val="3"/>
    </font>
    <font>
      <sz val="10"/>
      <color rgb="FF000000"/>
      <name val="ＭＳ Ｐゴシック"/>
      <family val="3"/>
      <charset val="128"/>
    </font>
    <font>
      <sz val="10"/>
      <name val="ＭＳ Ｐゴシック"/>
      <family val="3"/>
      <charset val="128"/>
    </font>
    <font>
      <b/>
      <sz val="9"/>
      <color indexed="81"/>
      <name val="MS P ゴシック"/>
      <family val="3"/>
      <charset val="128"/>
    </font>
    <font>
      <sz val="11"/>
      <color theme="1"/>
      <name val="HGSれいしっく"/>
      <family val="3"/>
      <charset val="128"/>
    </font>
    <font>
      <sz val="6"/>
      <name val="ＭＳ Ｐ明朝"/>
      <family val="2"/>
      <charset val="128"/>
      <scheme val="minor"/>
    </font>
    <font>
      <b/>
      <sz val="11"/>
      <color theme="1"/>
      <name val="HGSれいしっく"/>
      <family val="3"/>
      <charset val="128"/>
    </font>
    <font>
      <sz val="11"/>
      <name val="ＭＳ ゴシック"/>
      <family val="3"/>
      <charset val="128"/>
    </font>
    <font>
      <b/>
      <sz val="11"/>
      <color theme="1"/>
      <name val="ＭＳ Ｐ明朝"/>
      <family val="3"/>
      <charset val="128"/>
      <scheme val="minor"/>
    </font>
    <font>
      <b/>
      <sz val="11"/>
      <color theme="1"/>
      <name val="HGPれいしっく"/>
      <family val="3"/>
      <charset val="128"/>
    </font>
    <font>
      <b/>
      <sz val="11"/>
      <color rgb="FFFF0000"/>
      <name val="ＭＳ Ｐ明朝"/>
      <family val="1"/>
      <charset val="128"/>
    </font>
    <font>
      <b/>
      <sz val="11"/>
      <color rgb="FFFF0000"/>
      <name val="HGSれいしっく"/>
      <family val="3"/>
      <charset val="128"/>
    </font>
    <font>
      <u/>
      <sz val="11"/>
      <color rgb="FFFF0000"/>
      <name val="ＭＳ Ｐ明朝"/>
      <family val="1"/>
      <charset val="128"/>
      <scheme val="minor"/>
    </font>
    <font>
      <sz val="6"/>
      <color theme="1"/>
      <name val="ＭＳ Ｐ明朝"/>
      <family val="1"/>
      <charset val="128"/>
    </font>
    <font>
      <b/>
      <sz val="7"/>
      <color rgb="FFFF0000"/>
      <name val="ＭＳ Ｐ明朝"/>
      <family val="1"/>
      <charset val="128"/>
    </font>
    <font>
      <b/>
      <sz val="11"/>
      <color theme="1"/>
      <name val="ＭＳ Ｐ明朝"/>
      <family val="1"/>
      <charset val="128"/>
    </font>
    <font>
      <b/>
      <sz val="10"/>
      <color rgb="FFFF0000"/>
      <name val="ＭＳ Ｐ明朝"/>
      <family val="1"/>
      <charset val="128"/>
    </font>
    <font>
      <b/>
      <sz val="10"/>
      <color indexed="81"/>
      <name val="MS P ゴシック"/>
      <family val="3"/>
      <charset val="128"/>
    </font>
    <font>
      <sz val="11"/>
      <color theme="2"/>
      <name val="ＭＳ Ｐ明朝"/>
      <family val="1"/>
      <charset val="128"/>
    </font>
    <font>
      <sz val="11"/>
      <color theme="2" tint="-9.9978637043366805E-2"/>
      <name val="ＭＳ Ｐ明朝"/>
      <family val="1"/>
      <charset val="128"/>
    </font>
    <font>
      <sz val="9"/>
      <color rgb="FF000000"/>
      <name val="Meiryo UI"/>
      <family val="3"/>
      <charset val="128"/>
    </font>
  </fonts>
  <fills count="19">
    <fill>
      <patternFill patternType="none"/>
    </fill>
    <fill>
      <patternFill patternType="gray125"/>
    </fill>
    <fill>
      <patternFill patternType="solid">
        <fgColor theme="4" tint="0.59999389629810485"/>
        <bgColor indexed="65"/>
      </patternFill>
    </fill>
    <fill>
      <patternFill patternType="solid">
        <fgColor theme="4" tint="0.59999389629810485"/>
        <bgColor indexed="64"/>
      </patternFill>
    </fill>
    <fill>
      <patternFill patternType="solid">
        <fgColor rgb="FFFFCCCC"/>
      </patternFill>
    </fill>
    <fill>
      <patternFill patternType="solid">
        <fgColor rgb="FFDAEDF3"/>
      </patternFill>
    </fill>
    <fill>
      <patternFill patternType="solid">
        <fgColor rgb="FFEBF0DE"/>
      </patternFill>
    </fill>
    <fill>
      <patternFill patternType="solid">
        <fgColor rgb="FFF9BE8F"/>
      </patternFill>
    </fill>
    <fill>
      <patternFill patternType="solid">
        <fgColor rgb="FFFFFF00"/>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rgb="FFFFC000"/>
        <bgColor indexed="64"/>
      </patternFill>
    </fill>
    <fill>
      <patternFill patternType="solid">
        <fgColor theme="9" tint="-9.9978637043366805E-2"/>
        <bgColor indexed="64"/>
      </patternFill>
    </fill>
    <fill>
      <patternFill patternType="solid">
        <fgColor rgb="FFCC99FF"/>
        <bgColor indexed="64"/>
      </patternFill>
    </fill>
    <fill>
      <patternFill patternType="solid">
        <fgColor rgb="FFB8FEEC"/>
        <bgColor indexed="64"/>
      </patternFill>
    </fill>
    <fill>
      <patternFill patternType="solid">
        <fgColor rgb="FFA3FFED"/>
        <bgColor indexed="64"/>
      </patternFill>
    </fill>
    <fill>
      <patternFill patternType="solid">
        <fgColor rgb="FFB7FFF1"/>
        <bgColor indexed="64"/>
      </patternFill>
    </fill>
    <fill>
      <patternFill patternType="solid">
        <fgColor rgb="FFA3FFEC"/>
        <bgColor indexed="64"/>
      </patternFill>
    </fill>
    <fill>
      <patternFill patternType="solid">
        <fgColor rgb="FFA7FFEE"/>
        <bgColor indexed="64"/>
      </patternFill>
    </fill>
  </fills>
  <borders count="34">
    <border>
      <left/>
      <right/>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thin">
        <color indexed="64"/>
      </top>
      <bottom/>
      <diagonal/>
    </border>
    <border>
      <left style="thin">
        <color indexed="64"/>
      </left>
      <right/>
      <top/>
      <bottom style="dotted">
        <color indexed="64"/>
      </bottom>
      <diagonal/>
    </border>
    <border>
      <left/>
      <right/>
      <top/>
      <bottom style="thick">
        <color theme="4" tint="0.499984740745262"/>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9">
    <xf numFmtId="0" fontId="0" fillId="0" borderId="0">
      <alignment vertical="center"/>
    </xf>
    <xf numFmtId="0" fontId="5" fillId="2" borderId="0" applyNumberFormat="0" applyBorder="0" applyAlignment="0" applyProtection="0">
      <alignment vertical="center"/>
    </xf>
    <xf numFmtId="38" fontId="5" fillId="0" borderId="0" applyFont="0" applyFill="0" applyBorder="0" applyAlignment="0" applyProtection="0">
      <alignment vertical="center"/>
    </xf>
    <xf numFmtId="0" fontId="6" fillId="0" borderId="16" applyNumberFormat="0" applyFill="0" applyAlignment="0" applyProtection="0">
      <alignment vertical="center"/>
    </xf>
    <xf numFmtId="0" fontId="3" fillId="0" borderId="0">
      <alignment vertical="center"/>
    </xf>
    <xf numFmtId="0" fontId="15" fillId="0" borderId="0" applyNumberForma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31" fillId="0" borderId="0"/>
  </cellStyleXfs>
  <cellXfs count="364">
    <xf numFmtId="0" fontId="0" fillId="0" borderId="0" xfId="0">
      <alignment vertical="center"/>
    </xf>
    <xf numFmtId="0" fontId="7" fillId="0" borderId="0" xfId="0" applyFont="1">
      <alignment vertical="center"/>
    </xf>
    <xf numFmtId="49" fontId="7" fillId="0" borderId="0" xfId="0" applyNumberFormat="1" applyFont="1">
      <alignment vertical="center"/>
    </xf>
    <xf numFmtId="0" fontId="15" fillId="0" borderId="0" xfId="5">
      <alignment vertical="center"/>
    </xf>
    <xf numFmtId="0" fontId="18" fillId="0" borderId="25" xfId="0" applyFont="1" applyBorder="1" applyAlignment="1">
      <alignment horizontal="left" vertical="top" wrapText="1"/>
    </xf>
    <xf numFmtId="0" fontId="18" fillId="0" borderId="25" xfId="0" applyFont="1" applyBorder="1" applyAlignment="1">
      <alignment horizontal="center" vertical="top" wrapText="1"/>
    </xf>
    <xf numFmtId="10" fontId="20" fillId="0" borderId="25" xfId="0" applyNumberFormat="1" applyFont="1" applyBorder="1" applyAlignment="1">
      <alignment horizontal="center" vertical="top" shrinkToFit="1"/>
    </xf>
    <xf numFmtId="0" fontId="18" fillId="0" borderId="25" xfId="0" applyFont="1" applyBorder="1" applyAlignment="1">
      <alignment horizontal="right" vertical="top" wrapText="1"/>
    </xf>
    <xf numFmtId="1" fontId="20" fillId="0" borderId="25" xfId="0" applyNumberFormat="1" applyFont="1" applyBorder="1" applyAlignment="1">
      <alignment horizontal="right" vertical="top" shrinkToFit="1"/>
    </xf>
    <xf numFmtId="0" fontId="0" fillId="0" borderId="25" xfId="0" applyBorder="1" applyAlignment="1">
      <alignment horizontal="left" vertical="center" wrapText="1"/>
    </xf>
    <xf numFmtId="0" fontId="18" fillId="0" borderId="25" xfId="0" applyFont="1" applyBorder="1" applyAlignment="1">
      <alignment horizontal="right" vertical="top" wrapText="1" indent="1"/>
    </xf>
    <xf numFmtId="0" fontId="18" fillId="0" borderId="25" xfId="0" applyFont="1" applyBorder="1" applyAlignment="1">
      <alignment horizontal="left" vertical="center" wrapText="1"/>
    </xf>
    <xf numFmtId="0" fontId="18" fillId="0" borderId="25" xfId="0" applyFont="1" applyBorder="1" applyAlignment="1">
      <alignment horizontal="center" vertical="center" wrapText="1"/>
    </xf>
    <xf numFmtId="10" fontId="20" fillId="0" borderId="25" xfId="0" applyNumberFormat="1" applyFont="1" applyBorder="1" applyAlignment="1">
      <alignment horizontal="center" vertical="center" shrinkToFit="1"/>
    </xf>
    <xf numFmtId="0" fontId="18" fillId="0" borderId="25" xfId="0" applyFont="1" applyBorder="1" applyAlignment="1">
      <alignment horizontal="right" vertical="center" wrapText="1" indent="1"/>
    </xf>
    <xf numFmtId="1" fontId="20" fillId="0" borderId="25" xfId="0" applyNumberFormat="1" applyFont="1" applyBorder="1" applyAlignment="1">
      <alignment horizontal="right" vertical="center" shrinkToFit="1"/>
    </xf>
    <xf numFmtId="0" fontId="0" fillId="0" borderId="25" xfId="0" applyBorder="1" applyAlignment="1">
      <alignment horizontal="left" vertical="top" wrapText="1"/>
    </xf>
    <xf numFmtId="1" fontId="20" fillId="0" borderId="25" xfId="0" applyNumberFormat="1" applyFont="1" applyBorder="1" applyAlignment="1">
      <alignment horizontal="center" vertical="center" shrinkToFit="1"/>
    </xf>
    <xf numFmtId="1" fontId="20" fillId="0" borderId="25" xfId="0" applyNumberFormat="1" applyFont="1" applyBorder="1" applyAlignment="1">
      <alignment horizontal="center" vertical="top" shrinkToFit="1"/>
    </xf>
    <xf numFmtId="3" fontId="25" fillId="0" borderId="25" xfId="0" applyNumberFormat="1" applyFont="1" applyBorder="1" applyAlignment="1">
      <alignment horizontal="right" vertical="center" shrinkToFit="1"/>
    </xf>
    <xf numFmtId="3" fontId="25" fillId="0" borderId="25" xfId="0" applyNumberFormat="1" applyFont="1" applyBorder="1" applyAlignment="1">
      <alignment horizontal="right" vertical="top" shrinkToFit="1"/>
    </xf>
    <xf numFmtId="0" fontId="26" fillId="0" borderId="25" xfId="0" applyFont="1" applyBorder="1" applyAlignment="1">
      <alignment horizontal="right" vertical="center" wrapText="1"/>
    </xf>
    <xf numFmtId="0" fontId="26" fillId="0" borderId="25" xfId="0" applyFont="1" applyBorder="1" applyAlignment="1">
      <alignment horizontal="right" vertical="top" wrapText="1"/>
    </xf>
    <xf numFmtId="1" fontId="25" fillId="0" borderId="25" xfId="0" applyNumberFormat="1" applyFont="1" applyBorder="1" applyAlignment="1">
      <alignment horizontal="right" vertical="top" shrinkToFit="1"/>
    </xf>
    <xf numFmtId="0" fontId="7" fillId="0" borderId="6" xfId="0" applyFont="1" applyBorder="1">
      <alignment vertical="center"/>
    </xf>
    <xf numFmtId="0" fontId="7" fillId="0" borderId="0" xfId="0" applyFont="1" applyProtection="1">
      <alignment vertical="center"/>
      <protection locked="0"/>
    </xf>
    <xf numFmtId="0" fontId="7" fillId="0" borderId="14" xfId="0" applyFont="1" applyBorder="1" applyProtection="1">
      <alignment vertical="center"/>
      <protection locked="0"/>
    </xf>
    <xf numFmtId="0" fontId="7" fillId="0" borderId="8" xfId="0" applyFont="1" applyBorder="1" applyProtection="1">
      <alignment vertical="center"/>
      <protection locked="0"/>
    </xf>
    <xf numFmtId="0" fontId="7" fillId="0" borderId="5" xfId="0" applyFont="1" applyBorder="1" applyProtection="1">
      <alignment vertical="center"/>
      <protection locked="0"/>
    </xf>
    <xf numFmtId="0" fontId="7" fillId="0" borderId="2" xfId="0" applyFont="1" applyBorder="1" applyProtection="1">
      <alignment vertical="center"/>
      <protection locked="0"/>
    </xf>
    <xf numFmtId="0" fontId="7" fillId="0" borderId="7" xfId="0" applyFont="1" applyBorder="1" applyProtection="1">
      <alignment vertical="center"/>
      <protection locked="0"/>
    </xf>
    <xf numFmtId="0" fontId="7" fillId="0" borderId="4" xfId="0" applyFont="1" applyBorder="1" applyAlignment="1" applyProtection="1">
      <alignment vertical="center" wrapText="1"/>
      <protection locked="0"/>
    </xf>
    <xf numFmtId="0" fontId="7" fillId="0" borderId="9" xfId="0" applyFont="1" applyBorder="1" applyAlignment="1" applyProtection="1">
      <alignment horizontal="left" vertical="center"/>
      <protection locked="0"/>
    </xf>
    <xf numFmtId="0" fontId="7" fillId="0" borderId="9" xfId="0" applyFont="1" applyBorder="1" applyAlignment="1" applyProtection="1">
      <alignment vertical="center" wrapText="1"/>
      <protection locked="0"/>
    </xf>
    <xf numFmtId="0" fontId="7" fillId="0" borderId="9" xfId="0" applyFont="1" applyBorder="1" applyProtection="1">
      <alignment vertical="center"/>
      <protection locked="0"/>
    </xf>
    <xf numFmtId="0" fontId="7" fillId="0" borderId="10" xfId="0" applyFont="1" applyBorder="1" applyProtection="1">
      <alignment vertical="center"/>
      <protection locked="0"/>
    </xf>
    <xf numFmtId="0" fontId="7" fillId="0" borderId="1" xfId="0" applyFont="1" applyBorder="1" applyProtection="1">
      <alignment vertical="center"/>
      <protection locked="0"/>
    </xf>
    <xf numFmtId="0" fontId="7" fillId="0" borderId="2" xfId="0" applyFont="1" applyBorder="1" applyAlignment="1" applyProtection="1">
      <alignment horizontal="left" vertical="center"/>
      <protection locked="0"/>
    </xf>
    <xf numFmtId="0" fontId="9" fillId="0" borderId="2" xfId="0" applyFont="1" applyBorder="1" applyAlignment="1" applyProtection="1">
      <alignment horizontal="left" vertical="center"/>
      <protection locked="0"/>
    </xf>
    <xf numFmtId="0" fontId="7" fillId="0" borderId="3" xfId="0" applyFont="1" applyBorder="1" applyProtection="1">
      <alignment vertical="center"/>
      <protection locked="0"/>
    </xf>
    <xf numFmtId="0" fontId="7" fillId="0" borderId="6" xfId="0" applyFont="1" applyBorder="1" applyProtection="1">
      <alignment vertical="center"/>
      <protection locked="0"/>
    </xf>
    <xf numFmtId="0" fontId="7" fillId="0" borderId="11" xfId="0" applyFont="1" applyBorder="1" applyProtection="1">
      <alignment vertical="center"/>
      <protection locked="0"/>
    </xf>
    <xf numFmtId="0" fontId="7" fillId="0" borderId="9" xfId="0" applyFont="1" applyBorder="1" applyAlignment="1" applyProtection="1">
      <alignment horizontal="right" vertical="center" wrapText="1"/>
      <protection locked="0"/>
    </xf>
    <xf numFmtId="0" fontId="7" fillId="0" borderId="10" xfId="0" applyFont="1" applyBorder="1" applyAlignment="1" applyProtection="1">
      <alignment vertical="center" wrapText="1"/>
      <protection locked="0"/>
    </xf>
    <xf numFmtId="0" fontId="7" fillId="0" borderId="4" xfId="0" applyFont="1" applyBorder="1" applyProtection="1">
      <alignment vertical="center"/>
      <protection locked="0"/>
    </xf>
    <xf numFmtId="0" fontId="8" fillId="0" borderId="2" xfId="0" applyFont="1" applyBorder="1" applyProtection="1">
      <alignment vertical="center"/>
      <protection locked="0"/>
    </xf>
    <xf numFmtId="0" fontId="28" fillId="9" borderId="0" xfId="6" applyFont="1" applyFill="1" applyAlignment="1">
      <alignment horizontal="center" vertical="center" shrinkToFit="1"/>
    </xf>
    <xf numFmtId="0" fontId="30" fillId="10" borderId="0" xfId="6" applyFont="1" applyFill="1" applyAlignment="1">
      <alignment horizontal="center" vertical="center" shrinkToFit="1"/>
    </xf>
    <xf numFmtId="0" fontId="30" fillId="9" borderId="0" xfId="6" applyFont="1" applyFill="1" applyAlignment="1">
      <alignment horizontal="center" vertical="center" shrinkToFit="1"/>
    </xf>
    <xf numFmtId="0" fontId="33" fillId="9" borderId="0" xfId="6" applyFont="1" applyFill="1" applyAlignment="1">
      <alignment horizontal="center" vertical="center" shrinkToFit="1"/>
    </xf>
    <xf numFmtId="0" fontId="28" fillId="10" borderId="0" xfId="6" applyFont="1" applyFill="1" applyAlignment="1">
      <alignment horizontal="center" vertical="center" shrinkToFit="1"/>
    </xf>
    <xf numFmtId="0" fontId="30" fillId="12" borderId="0" xfId="6" applyFont="1" applyFill="1" applyAlignment="1">
      <alignment horizontal="center" vertical="center" shrinkToFit="1"/>
    </xf>
    <xf numFmtId="0" fontId="32" fillId="12" borderId="0" xfId="6" applyFont="1" applyFill="1" applyAlignment="1">
      <alignment horizontal="center" vertical="center" shrinkToFit="1"/>
    </xf>
    <xf numFmtId="0" fontId="30" fillId="11" borderId="0" xfId="6" applyFont="1" applyFill="1" applyAlignment="1">
      <alignment horizontal="center" vertical="center" shrinkToFit="1"/>
    </xf>
    <xf numFmtId="0" fontId="30" fillId="13" borderId="0" xfId="6" applyFont="1" applyFill="1" applyAlignment="1">
      <alignment horizontal="center" vertical="center" shrinkToFit="1"/>
    </xf>
    <xf numFmtId="38" fontId="30" fillId="13" borderId="0" xfId="7" applyFont="1" applyFill="1" applyAlignment="1">
      <alignment horizontal="center" vertical="center" shrinkToFit="1"/>
    </xf>
    <xf numFmtId="0" fontId="0" fillId="0" borderId="0" xfId="0" applyAlignment="1">
      <alignment vertical="center" shrinkToFit="1"/>
    </xf>
    <xf numFmtId="0" fontId="34" fillId="0" borderId="8" xfId="0" applyFont="1" applyBorder="1" applyProtection="1">
      <alignment vertical="center"/>
      <protection locked="0"/>
    </xf>
    <xf numFmtId="0" fontId="7" fillId="14" borderId="8" xfId="0" applyFont="1" applyFill="1" applyBorder="1" applyProtection="1">
      <alignment vertical="center"/>
      <protection locked="0"/>
    </xf>
    <xf numFmtId="0" fontId="7" fillId="14" borderId="14" xfId="0" applyFont="1" applyFill="1" applyBorder="1" applyProtection="1">
      <alignment vertical="center"/>
      <protection locked="0"/>
    </xf>
    <xf numFmtId="0" fontId="7" fillId="0" borderId="2" xfId="0" applyFont="1" applyBorder="1" applyAlignment="1" applyProtection="1">
      <alignment horizontal="right" vertical="center"/>
      <protection locked="0"/>
    </xf>
    <xf numFmtId="3" fontId="7" fillId="0" borderId="4" xfId="0" applyNumberFormat="1" applyFont="1" applyBorder="1" applyAlignment="1" applyProtection="1">
      <alignment horizontal="center" vertical="center" shrinkToFit="1"/>
      <protection locked="0"/>
    </xf>
    <xf numFmtId="3" fontId="7" fillId="0" borderId="33" xfId="0" applyNumberFormat="1" applyFont="1" applyBorder="1" applyAlignment="1" applyProtection="1">
      <alignment horizontal="center" vertical="center" shrinkToFit="1"/>
      <protection locked="0"/>
    </xf>
    <xf numFmtId="0" fontId="7" fillId="0" borderId="0" xfId="0" applyFont="1" applyAlignment="1" applyProtection="1">
      <alignment vertical="center" wrapText="1"/>
      <protection locked="0"/>
    </xf>
    <xf numFmtId="0" fontId="9" fillId="0" borderId="4" xfId="0" applyFont="1" applyBorder="1" applyProtection="1">
      <alignment vertical="center"/>
      <protection locked="0"/>
    </xf>
    <xf numFmtId="0" fontId="0" fillId="0" borderId="11" xfId="0" applyBorder="1">
      <alignment vertical="center"/>
    </xf>
    <xf numFmtId="0" fontId="35" fillId="11" borderId="0" xfId="6" applyFont="1" applyFill="1" applyAlignment="1">
      <alignment horizontal="center" vertical="center" shrinkToFit="1"/>
    </xf>
    <xf numFmtId="176" fontId="0" fillId="0" borderId="0" xfId="0" applyNumberFormat="1">
      <alignment vertical="center"/>
    </xf>
    <xf numFmtId="177" fontId="0" fillId="0" borderId="0" xfId="0" applyNumberFormat="1">
      <alignment vertical="center"/>
    </xf>
    <xf numFmtId="0" fontId="7" fillId="14" borderId="6" xfId="0" applyFont="1" applyFill="1" applyBorder="1" applyProtection="1">
      <alignment vertical="center"/>
      <protection locked="0"/>
    </xf>
    <xf numFmtId="0" fontId="7" fillId="14" borderId="0" xfId="0" applyFont="1" applyFill="1" applyProtection="1">
      <alignment vertical="center"/>
      <protection locked="0"/>
    </xf>
    <xf numFmtId="0" fontId="34" fillId="0" borderId="0" xfId="0" applyFont="1" applyProtection="1">
      <alignment vertical="center"/>
      <protection locked="0"/>
    </xf>
    <xf numFmtId="0" fontId="7" fillId="0" borderId="11" xfId="0" applyFont="1" applyBorder="1" applyAlignment="1">
      <alignment horizontal="right" vertical="center"/>
    </xf>
    <xf numFmtId="0" fontId="42" fillId="0" borderId="0" xfId="0" applyFont="1">
      <alignment vertical="center"/>
    </xf>
    <xf numFmtId="0" fontId="7" fillId="0" borderId="0" xfId="0" applyFont="1" applyAlignment="1">
      <alignment horizontal="right" vertical="center"/>
    </xf>
    <xf numFmtId="0" fontId="43" fillId="0" borderId="0" xfId="0" applyFont="1">
      <alignment vertical="center"/>
    </xf>
    <xf numFmtId="1" fontId="7" fillId="0" borderId="11" xfId="0" applyNumberFormat="1" applyFont="1" applyBorder="1" applyAlignment="1">
      <alignment horizontal="center" vertical="center"/>
    </xf>
    <xf numFmtId="0" fontId="7" fillId="18" borderId="11" xfId="0" applyFont="1" applyFill="1" applyBorder="1" applyAlignment="1">
      <alignment horizontal="center" vertical="center"/>
    </xf>
    <xf numFmtId="0" fontId="7" fillId="2" borderId="14" xfId="1" applyFont="1" applyBorder="1" applyAlignment="1" applyProtection="1">
      <alignment vertical="center"/>
      <protection locked="0"/>
    </xf>
    <xf numFmtId="0" fontId="7" fillId="2" borderId="8" xfId="1" applyFont="1" applyBorder="1" applyAlignment="1" applyProtection="1">
      <alignment vertical="center"/>
      <protection locked="0"/>
    </xf>
    <xf numFmtId="0" fontId="7" fillId="2" borderId="1" xfId="1" applyFont="1" applyBorder="1" applyAlignment="1" applyProtection="1">
      <alignment vertical="center"/>
      <protection locked="0"/>
    </xf>
    <xf numFmtId="0" fontId="7" fillId="0" borderId="5" xfId="0" applyFont="1" applyBorder="1" applyProtection="1">
      <alignment vertical="center"/>
      <protection locked="0"/>
    </xf>
    <xf numFmtId="0" fontId="7" fillId="0" borderId="2" xfId="0" applyFont="1" applyBorder="1" applyProtection="1">
      <alignment vertical="center"/>
      <protection locked="0"/>
    </xf>
    <xf numFmtId="0" fontId="7" fillId="0" borderId="3" xfId="0" applyFont="1" applyBorder="1" applyProtection="1">
      <alignment vertical="center"/>
      <protection locked="0"/>
    </xf>
    <xf numFmtId="49" fontId="7" fillId="14" borderId="4" xfId="0" applyNumberFormat="1" applyFont="1" applyFill="1" applyBorder="1" applyAlignment="1" applyProtection="1">
      <alignment horizontal="left" vertical="center"/>
      <protection locked="0"/>
    </xf>
    <xf numFmtId="49" fontId="7" fillId="14" borderId="9" xfId="0" applyNumberFormat="1" applyFont="1" applyFill="1" applyBorder="1" applyAlignment="1" applyProtection="1">
      <alignment horizontal="left" vertical="center"/>
      <protection locked="0"/>
    </xf>
    <xf numFmtId="49" fontId="7" fillId="14" borderId="10" xfId="0" applyNumberFormat="1" applyFont="1" applyFill="1" applyBorder="1" applyAlignment="1" applyProtection="1">
      <alignment horizontal="left" vertical="center"/>
      <protection locked="0"/>
    </xf>
    <xf numFmtId="0" fontId="7" fillId="0" borderId="2" xfId="0" applyFont="1" applyBorder="1" applyAlignment="1" applyProtection="1">
      <alignment horizontal="left" vertical="center" shrinkToFit="1"/>
      <protection locked="0"/>
    </xf>
    <xf numFmtId="0" fontId="7" fillId="0" borderId="9" xfId="0" applyFont="1" applyBorder="1" applyAlignment="1" applyProtection="1">
      <alignment horizontal="left" vertical="center" shrinkToFit="1"/>
      <protection locked="0"/>
    </xf>
    <xf numFmtId="0" fontId="7" fillId="2" borderId="14" xfId="1" applyFont="1" applyBorder="1" applyAlignment="1" applyProtection="1">
      <alignment horizontal="center" vertical="center" wrapText="1"/>
      <protection locked="0"/>
    </xf>
    <xf numFmtId="0" fontId="7" fillId="2" borderId="5" xfId="1" applyFont="1" applyBorder="1" applyAlignment="1" applyProtection="1">
      <alignment horizontal="center" vertical="center" wrapText="1"/>
      <protection locked="0"/>
    </xf>
    <xf numFmtId="0" fontId="7" fillId="2" borderId="4" xfId="1" applyFont="1" applyBorder="1" applyAlignment="1" applyProtection="1">
      <alignment horizontal="left" vertical="center" wrapText="1"/>
      <protection locked="0"/>
    </xf>
    <xf numFmtId="0" fontId="7" fillId="2" borderId="9" xfId="1" applyFont="1" applyBorder="1" applyAlignment="1" applyProtection="1">
      <alignment horizontal="left" vertical="center" wrapText="1"/>
      <protection locked="0"/>
    </xf>
    <xf numFmtId="0" fontId="7" fillId="2" borderId="10" xfId="1" applyFont="1" applyBorder="1" applyAlignment="1" applyProtection="1">
      <alignment horizontal="left" vertical="center" wrapText="1"/>
      <protection locked="0"/>
    </xf>
    <xf numFmtId="0" fontId="7" fillId="2" borderId="5" xfId="1" applyFont="1" applyBorder="1" applyAlignment="1" applyProtection="1">
      <alignment horizontal="left" vertical="center" wrapText="1"/>
      <protection locked="0"/>
    </xf>
    <xf numFmtId="0" fontId="7" fillId="2" borderId="2" xfId="1" applyFont="1" applyBorder="1" applyAlignment="1" applyProtection="1">
      <alignment horizontal="left" vertical="center" wrapText="1"/>
      <protection locked="0"/>
    </xf>
    <xf numFmtId="0" fontId="7" fillId="2" borderId="3" xfId="1" applyFont="1" applyBorder="1" applyAlignment="1" applyProtection="1">
      <alignment horizontal="left" vertical="center" wrapText="1"/>
      <protection locked="0"/>
    </xf>
    <xf numFmtId="0" fontId="10" fillId="14" borderId="9" xfId="0" applyFont="1" applyFill="1" applyBorder="1" applyAlignment="1" applyProtection="1">
      <alignment horizontal="left" vertical="center"/>
      <protection locked="0"/>
    </xf>
    <xf numFmtId="0" fontId="10" fillId="14" borderId="10" xfId="0" applyFont="1" applyFill="1" applyBorder="1" applyAlignment="1" applyProtection="1">
      <alignment horizontal="left" vertical="center"/>
      <protection locked="0"/>
    </xf>
    <xf numFmtId="0" fontId="10" fillId="16" borderId="8" xfId="0" applyFont="1" applyFill="1" applyBorder="1" applyAlignment="1" applyProtection="1">
      <alignment horizontal="left" vertical="center" wrapText="1"/>
      <protection locked="0"/>
    </xf>
    <xf numFmtId="0" fontId="10" fillId="16" borderId="1" xfId="0" applyFont="1" applyFill="1" applyBorder="1" applyAlignment="1" applyProtection="1">
      <alignment horizontal="left" vertical="center" wrapText="1"/>
      <protection locked="0"/>
    </xf>
    <xf numFmtId="0" fontId="10" fillId="16" borderId="2" xfId="0" applyFont="1" applyFill="1" applyBorder="1" applyAlignment="1" applyProtection="1">
      <alignment horizontal="left" vertical="center" wrapText="1"/>
      <protection locked="0"/>
    </xf>
    <xf numFmtId="0" fontId="10" fillId="16" borderId="3" xfId="0" applyFont="1" applyFill="1" applyBorder="1" applyAlignment="1" applyProtection="1">
      <alignment horizontal="left" vertical="center" wrapText="1"/>
      <protection locked="0"/>
    </xf>
    <xf numFmtId="0" fontId="7" fillId="3" borderId="8" xfId="0" applyFont="1" applyFill="1" applyBorder="1" applyAlignment="1" applyProtection="1">
      <alignment horizontal="left" vertical="center"/>
      <protection locked="0"/>
    </xf>
    <xf numFmtId="0" fontId="7" fillId="3" borderId="2" xfId="0" applyFont="1" applyFill="1" applyBorder="1" applyAlignment="1" applyProtection="1">
      <alignment horizontal="left" vertical="center"/>
      <protection locked="0"/>
    </xf>
    <xf numFmtId="176" fontId="7" fillId="0" borderId="4" xfId="0" applyNumberFormat="1" applyFont="1" applyBorder="1" applyAlignment="1" applyProtection="1">
      <alignment horizontal="center" vertical="center" shrinkToFit="1"/>
      <protection locked="0"/>
    </xf>
    <xf numFmtId="176" fontId="7" fillId="0" borderId="9" xfId="0" applyNumberFormat="1" applyFont="1" applyBorder="1" applyAlignment="1" applyProtection="1">
      <alignment horizontal="center" vertical="center" shrinkToFit="1"/>
      <protection locked="0"/>
    </xf>
    <xf numFmtId="176" fontId="7" fillId="0" borderId="10" xfId="0" applyNumberFormat="1" applyFont="1" applyBorder="1" applyAlignment="1" applyProtection="1">
      <alignment horizontal="center" vertical="center" shrinkToFit="1"/>
      <protection locked="0"/>
    </xf>
    <xf numFmtId="0" fontId="7" fillId="16" borderId="8" xfId="0" applyFont="1" applyFill="1" applyBorder="1" applyAlignment="1" applyProtection="1">
      <alignment horizontal="left" vertical="center"/>
      <protection locked="0"/>
    </xf>
    <xf numFmtId="177" fontId="7" fillId="16" borderId="4" xfId="0" applyNumberFormat="1" applyFont="1" applyFill="1" applyBorder="1" applyAlignment="1" applyProtection="1">
      <alignment horizontal="center" vertical="center" shrinkToFit="1"/>
      <protection locked="0"/>
    </xf>
    <xf numFmtId="177" fontId="7" fillId="16" borderId="9" xfId="0" applyNumberFormat="1" applyFont="1" applyFill="1" applyBorder="1" applyAlignment="1" applyProtection="1">
      <alignment horizontal="center" vertical="center" shrinkToFit="1"/>
      <protection locked="0"/>
    </xf>
    <xf numFmtId="177" fontId="7" fillId="16" borderId="10" xfId="0" applyNumberFormat="1" applyFont="1" applyFill="1" applyBorder="1" applyAlignment="1" applyProtection="1">
      <alignment horizontal="center" vertical="center" shrinkToFit="1"/>
      <protection locked="0"/>
    </xf>
    <xf numFmtId="0" fontId="7" fillId="15" borderId="0" xfId="0" applyFont="1" applyFill="1" applyAlignment="1" applyProtection="1">
      <alignment horizontal="left" vertical="center"/>
      <protection locked="0"/>
    </xf>
    <xf numFmtId="176" fontId="7" fillId="16" borderId="4" xfId="0" applyNumberFormat="1" applyFont="1" applyFill="1" applyBorder="1" applyAlignment="1" applyProtection="1">
      <alignment horizontal="center" vertical="center" shrinkToFit="1"/>
      <protection locked="0"/>
    </xf>
    <xf numFmtId="176" fontId="7" fillId="16" borderId="9" xfId="0" applyNumberFormat="1" applyFont="1" applyFill="1" applyBorder="1" applyAlignment="1" applyProtection="1">
      <alignment horizontal="center" vertical="center" shrinkToFit="1"/>
      <protection locked="0"/>
    </xf>
    <xf numFmtId="176" fontId="7" fillId="16" borderId="10" xfId="0" applyNumberFormat="1" applyFont="1" applyFill="1" applyBorder="1" applyAlignment="1" applyProtection="1">
      <alignment horizontal="center" vertical="center" shrinkToFit="1"/>
      <protection locked="0"/>
    </xf>
    <xf numFmtId="0" fontId="8" fillId="0" borderId="4" xfId="0" applyFont="1" applyBorder="1" applyAlignment="1" applyProtection="1">
      <alignment horizontal="center" vertical="center" wrapText="1" shrinkToFit="1"/>
      <protection locked="0"/>
    </xf>
    <xf numFmtId="0" fontId="8" fillId="0" borderId="9" xfId="0" applyFont="1" applyBorder="1" applyAlignment="1" applyProtection="1">
      <alignment horizontal="center" vertical="center" wrapText="1" shrinkToFit="1"/>
      <protection locked="0"/>
    </xf>
    <xf numFmtId="0" fontId="8" fillId="0" borderId="10" xfId="0" applyFont="1" applyBorder="1" applyAlignment="1" applyProtection="1">
      <alignment horizontal="center" vertical="center" wrapText="1" shrinkToFit="1"/>
      <protection locked="0"/>
    </xf>
    <xf numFmtId="0" fontId="7" fillId="0" borderId="11" xfId="0" applyFont="1" applyBorder="1" applyAlignment="1" applyProtection="1">
      <alignment horizontal="center" vertical="center"/>
      <protection locked="0"/>
    </xf>
    <xf numFmtId="0" fontId="7" fillId="0" borderId="32" xfId="0" applyFont="1" applyBorder="1" applyAlignment="1" applyProtection="1">
      <alignment horizontal="center" vertical="center"/>
      <protection locked="0"/>
    </xf>
    <xf numFmtId="14" fontId="7" fillId="0" borderId="32" xfId="0" applyNumberFormat="1" applyFont="1" applyBorder="1" applyAlignment="1" applyProtection="1">
      <alignment horizontal="left" vertical="center"/>
      <protection locked="0"/>
    </xf>
    <xf numFmtId="0" fontId="7" fillId="0" borderId="32" xfId="0" applyFont="1" applyBorder="1" applyAlignment="1" applyProtection="1">
      <alignment horizontal="left" vertical="center"/>
      <protection locked="0"/>
    </xf>
    <xf numFmtId="0" fontId="7" fillId="0" borderId="11" xfId="0" applyFont="1" applyBorder="1" applyAlignment="1" applyProtection="1">
      <alignment horizontal="center" vertical="center" shrinkToFit="1"/>
      <protection locked="0"/>
    </xf>
    <xf numFmtId="0" fontId="10" fillId="0" borderId="11" xfId="0" applyFont="1" applyBorder="1" applyAlignment="1" applyProtection="1">
      <alignment horizontal="center" vertical="center" shrinkToFit="1"/>
      <protection locked="0"/>
    </xf>
    <xf numFmtId="0" fontId="7" fillId="0" borderId="9" xfId="0" applyFont="1" applyBorder="1" applyAlignment="1" applyProtection="1">
      <alignment horizontal="center" vertical="center" shrinkToFit="1"/>
      <protection locked="0"/>
    </xf>
    <xf numFmtId="0" fontId="7" fillId="0" borderId="9" xfId="0" applyFont="1" applyBorder="1" applyAlignment="1" applyProtection="1">
      <alignment horizontal="left" vertical="center"/>
      <protection locked="0"/>
    </xf>
    <xf numFmtId="0" fontId="7" fillId="0" borderId="10" xfId="0" applyFont="1" applyBorder="1" applyAlignment="1" applyProtection="1">
      <alignment horizontal="left" vertical="center"/>
      <protection locked="0"/>
    </xf>
    <xf numFmtId="0" fontId="7" fillId="0" borderId="2" xfId="0" applyFont="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7" fillId="0" borderId="9" xfId="0" applyFont="1" applyBorder="1" applyAlignment="1" applyProtection="1">
      <alignment horizontal="center" vertical="center" wrapText="1"/>
      <protection locked="0"/>
    </xf>
    <xf numFmtId="0" fontId="38" fillId="0" borderId="2" xfId="0" applyFont="1" applyBorder="1" applyAlignment="1" applyProtection="1">
      <alignment horizontal="center" vertical="center"/>
      <protection locked="0"/>
    </xf>
    <xf numFmtId="0" fontId="38" fillId="0" borderId="3" xfId="0" applyFont="1" applyBorder="1" applyAlignment="1" applyProtection="1">
      <alignment horizontal="center" vertical="center"/>
      <protection locked="0"/>
    </xf>
    <xf numFmtId="0" fontId="7" fillId="0" borderId="4" xfId="0" applyFont="1" applyBorder="1" applyAlignment="1" applyProtection="1">
      <alignment horizontal="left" vertical="center"/>
      <protection locked="0"/>
    </xf>
    <xf numFmtId="0" fontId="9" fillId="0" borderId="11" xfId="0" applyFont="1" applyBorder="1" applyAlignment="1" applyProtection="1">
      <alignment horizontal="center" vertical="center"/>
      <protection locked="0"/>
    </xf>
    <xf numFmtId="0" fontId="13" fillId="0" borderId="16" xfId="3" applyFont="1" applyAlignment="1" applyProtection="1">
      <alignment horizontal="center" vertical="center"/>
      <protection locked="0"/>
    </xf>
    <xf numFmtId="0" fontId="7" fillId="2" borderId="14" xfId="1" applyFont="1" applyBorder="1" applyAlignment="1" applyProtection="1">
      <alignment horizontal="left" vertical="center" wrapText="1"/>
      <protection locked="0"/>
    </xf>
    <xf numFmtId="0" fontId="7" fillId="2" borderId="8" xfId="1" applyFont="1" applyBorder="1" applyAlignment="1" applyProtection="1">
      <alignment horizontal="left" vertical="center" wrapText="1"/>
      <protection locked="0"/>
    </xf>
    <xf numFmtId="0" fontId="7" fillId="2" borderId="1" xfId="1" applyFont="1" applyBorder="1" applyAlignment="1" applyProtection="1">
      <alignment horizontal="left" vertical="center" wrapText="1"/>
      <protection locked="0"/>
    </xf>
    <xf numFmtId="0" fontId="7" fillId="2" borderId="6" xfId="1" applyFont="1" applyBorder="1" applyAlignment="1" applyProtection="1">
      <alignment horizontal="left" vertical="center" wrapText="1"/>
      <protection locked="0"/>
    </xf>
    <xf numFmtId="0" fontId="7" fillId="2" borderId="0" xfId="1" applyFont="1" applyBorder="1" applyAlignment="1" applyProtection="1">
      <alignment horizontal="left" vertical="center" wrapText="1"/>
      <protection locked="0"/>
    </xf>
    <xf numFmtId="0" fontId="7" fillId="2" borderId="7" xfId="1" applyFont="1" applyBorder="1" applyAlignment="1" applyProtection="1">
      <alignment horizontal="left" vertical="center" wrapText="1"/>
      <protection locked="0"/>
    </xf>
    <xf numFmtId="0" fontId="7" fillId="14" borderId="14" xfId="0" applyFont="1" applyFill="1" applyBorder="1" applyAlignment="1" applyProtection="1">
      <alignment horizontal="left" vertical="center" wrapText="1"/>
      <protection locked="0"/>
    </xf>
    <xf numFmtId="0" fontId="7" fillId="14" borderId="8" xfId="0" applyFont="1" applyFill="1" applyBorder="1" applyAlignment="1" applyProtection="1">
      <alignment horizontal="left" vertical="center" wrapText="1"/>
      <protection locked="0"/>
    </xf>
    <xf numFmtId="0" fontId="7" fillId="14" borderId="1" xfId="0" applyFont="1" applyFill="1" applyBorder="1" applyAlignment="1" applyProtection="1">
      <alignment horizontal="left" vertical="center" wrapText="1"/>
      <protection locked="0"/>
    </xf>
    <xf numFmtId="0" fontId="7" fillId="14" borderId="5" xfId="0" applyFont="1" applyFill="1" applyBorder="1" applyAlignment="1" applyProtection="1">
      <alignment horizontal="left" vertical="center" wrapText="1"/>
      <protection locked="0"/>
    </xf>
    <xf numFmtId="0" fontId="7" fillId="14" borderId="2" xfId="0" applyFont="1" applyFill="1" applyBorder="1" applyAlignment="1" applyProtection="1">
      <alignment horizontal="left" vertical="center" wrapText="1"/>
      <protection locked="0"/>
    </xf>
    <xf numFmtId="0" fontId="7" fillId="14" borderId="3" xfId="0" applyFont="1" applyFill="1" applyBorder="1" applyAlignment="1" applyProtection="1">
      <alignment horizontal="left" vertical="center" wrapText="1"/>
      <protection locked="0"/>
    </xf>
    <xf numFmtId="0" fontId="7" fillId="0" borderId="4" xfId="0" applyFont="1" applyBorder="1" applyAlignment="1" applyProtection="1">
      <alignment horizontal="left" vertical="center" wrapText="1"/>
      <protection locked="0"/>
    </xf>
    <xf numFmtId="0" fontId="7" fillId="0" borderId="9" xfId="0" applyFont="1" applyBorder="1" applyAlignment="1" applyProtection="1">
      <alignment horizontal="left" vertical="center" wrapText="1"/>
      <protection locked="0"/>
    </xf>
    <xf numFmtId="0" fontId="7" fillId="0" borderId="10" xfId="0" applyFont="1" applyBorder="1" applyAlignment="1" applyProtection="1">
      <alignment horizontal="left" vertical="center" wrapText="1"/>
      <protection locked="0"/>
    </xf>
    <xf numFmtId="3" fontId="7" fillId="0" borderId="4" xfId="0" applyNumberFormat="1" applyFont="1" applyBorder="1" applyAlignment="1" applyProtection="1">
      <alignment horizontal="right" vertical="center" shrinkToFit="1"/>
      <protection locked="0"/>
    </xf>
    <xf numFmtId="3" fontId="7" fillId="0" borderId="9" xfId="0" applyNumberFormat="1" applyFont="1" applyBorder="1" applyAlignment="1" applyProtection="1">
      <alignment horizontal="right" vertical="center" shrinkToFit="1"/>
      <protection locked="0"/>
    </xf>
    <xf numFmtId="3" fontId="7" fillId="0" borderId="10" xfId="0" applyNumberFormat="1" applyFont="1" applyBorder="1" applyAlignment="1" applyProtection="1">
      <alignment horizontal="right" vertical="center" shrinkToFit="1"/>
      <protection locked="0"/>
    </xf>
    <xf numFmtId="0" fontId="10" fillId="2" borderId="11" xfId="1" applyFont="1" applyBorder="1" applyAlignment="1" applyProtection="1">
      <alignment horizontal="center" vertical="center" wrapText="1"/>
      <protection locked="0"/>
    </xf>
    <xf numFmtId="0" fontId="7" fillId="2" borderId="6" xfId="1" applyFont="1" applyBorder="1" applyAlignment="1" applyProtection="1">
      <alignment vertical="center"/>
      <protection locked="0"/>
    </xf>
    <xf numFmtId="0" fontId="7" fillId="2" borderId="0" xfId="1" applyFont="1" applyBorder="1" applyAlignment="1" applyProtection="1">
      <alignment vertical="center"/>
      <protection locked="0"/>
    </xf>
    <xf numFmtId="0" fontId="7" fillId="2" borderId="7" xfId="1" applyFont="1" applyBorder="1" applyAlignment="1" applyProtection="1">
      <alignment vertical="center"/>
      <protection locked="0"/>
    </xf>
    <xf numFmtId="0" fontId="7" fillId="2" borderId="15" xfId="1" applyFont="1" applyBorder="1" applyAlignment="1" applyProtection="1">
      <alignment vertical="center"/>
      <protection locked="0"/>
    </xf>
    <xf numFmtId="0" fontId="7" fillId="2" borderId="12" xfId="1" applyFont="1" applyBorder="1" applyAlignment="1" applyProtection="1">
      <alignment vertical="center"/>
      <protection locked="0"/>
    </xf>
    <xf numFmtId="0" fontId="7" fillId="2" borderId="13" xfId="1" applyFont="1" applyBorder="1" applyAlignment="1" applyProtection="1">
      <alignment vertical="center"/>
      <protection locked="0"/>
    </xf>
    <xf numFmtId="0" fontId="7" fillId="0" borderId="0" xfId="0" applyFont="1" applyAlignment="1" applyProtection="1">
      <alignment horizontal="center" vertical="center"/>
      <protection locked="0"/>
    </xf>
    <xf numFmtId="0" fontId="7" fillId="2" borderId="4" xfId="1" applyFont="1" applyBorder="1" applyAlignment="1" applyProtection="1">
      <alignment vertical="center"/>
      <protection locked="0"/>
    </xf>
    <xf numFmtId="0" fontId="7" fillId="2" borderId="9" xfId="1" applyFont="1" applyBorder="1" applyAlignment="1" applyProtection="1">
      <alignment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7" fillId="0" borderId="10" xfId="0" applyFont="1" applyBorder="1" applyAlignment="1" applyProtection="1">
      <alignment horizontal="center" vertical="center"/>
      <protection locked="0"/>
    </xf>
    <xf numFmtId="0" fontId="7" fillId="14" borderId="4" xfId="0" applyFont="1" applyFill="1" applyBorder="1" applyAlignment="1" applyProtection="1">
      <alignment horizontal="left" vertical="center" shrinkToFit="1"/>
      <protection locked="0"/>
    </xf>
    <xf numFmtId="0" fontId="7" fillId="14" borderId="9" xfId="0" applyFont="1" applyFill="1" applyBorder="1" applyAlignment="1" applyProtection="1">
      <alignment horizontal="left" vertical="center" shrinkToFit="1"/>
      <protection locked="0"/>
    </xf>
    <xf numFmtId="0" fontId="7" fillId="14" borderId="10" xfId="0" applyFont="1" applyFill="1" applyBorder="1" applyAlignment="1" applyProtection="1">
      <alignment horizontal="left" vertical="center" shrinkToFit="1"/>
      <protection locked="0"/>
    </xf>
    <xf numFmtId="0" fontId="7" fillId="16" borderId="0" xfId="0" applyFont="1" applyFill="1" applyAlignment="1" applyProtection="1">
      <alignment horizontal="center" vertical="center" wrapText="1"/>
      <protection locked="0"/>
    </xf>
    <xf numFmtId="0" fontId="7" fillId="2" borderId="14" xfId="1" applyFont="1" applyBorder="1" applyAlignment="1" applyProtection="1">
      <alignment horizontal="left" vertical="center" shrinkToFit="1"/>
      <protection locked="0"/>
    </xf>
    <xf numFmtId="0" fontId="7" fillId="2" borderId="8" xfId="1" applyFont="1" applyBorder="1" applyAlignment="1" applyProtection="1">
      <alignment horizontal="left" vertical="center" shrinkToFit="1"/>
      <protection locked="0"/>
    </xf>
    <xf numFmtId="0" fontId="7" fillId="2" borderId="1" xfId="1" applyFont="1" applyBorder="1" applyAlignment="1" applyProtection="1">
      <alignment horizontal="left" vertical="center" shrinkToFit="1"/>
      <protection locked="0"/>
    </xf>
    <xf numFmtId="0" fontId="7" fillId="2" borderId="6" xfId="1" applyFont="1" applyBorder="1" applyAlignment="1" applyProtection="1">
      <alignment horizontal="left" vertical="center" shrinkToFit="1"/>
      <protection locked="0"/>
    </xf>
    <xf numFmtId="0" fontId="7" fillId="2" borderId="0" xfId="1" applyFont="1" applyBorder="1" applyAlignment="1" applyProtection="1">
      <alignment horizontal="left" vertical="center" shrinkToFit="1"/>
      <protection locked="0"/>
    </xf>
    <xf numFmtId="0" fontId="7" fillId="2" borderId="7" xfId="1" applyFont="1" applyBorder="1" applyAlignment="1" applyProtection="1">
      <alignment horizontal="left" vertical="center" shrinkToFit="1"/>
      <protection locked="0"/>
    </xf>
    <xf numFmtId="0" fontId="7" fillId="2" borderId="5" xfId="1" applyFont="1" applyBorder="1" applyAlignment="1" applyProtection="1">
      <alignment horizontal="left" vertical="center" shrinkToFit="1"/>
      <protection locked="0"/>
    </xf>
    <xf numFmtId="0" fontId="7" fillId="2" borderId="2" xfId="1" applyFont="1" applyBorder="1" applyAlignment="1" applyProtection="1">
      <alignment horizontal="left" vertical="center" shrinkToFit="1"/>
      <protection locked="0"/>
    </xf>
    <xf numFmtId="0" fontId="7" fillId="2" borderId="3" xfId="1" applyFont="1" applyBorder="1" applyAlignment="1" applyProtection="1">
      <alignment horizontal="left" vertical="center" shrinkToFit="1"/>
      <protection locked="0"/>
    </xf>
    <xf numFmtId="0" fontId="7" fillId="0" borderId="5" xfId="0" applyFont="1" applyBorder="1" applyAlignment="1" applyProtection="1">
      <alignment horizontal="center" vertical="center"/>
      <protection locked="0"/>
    </xf>
    <xf numFmtId="3" fontId="11" fillId="8" borderId="4" xfId="0" applyNumberFormat="1" applyFont="1" applyFill="1" applyBorder="1" applyAlignment="1" applyProtection="1">
      <alignment horizontal="center" vertical="center" shrinkToFit="1"/>
      <protection locked="0"/>
    </xf>
    <xf numFmtId="3" fontId="11" fillId="8" borderId="9" xfId="0" applyNumberFormat="1" applyFont="1" applyFill="1" applyBorder="1" applyAlignment="1" applyProtection="1">
      <alignment horizontal="center" vertical="center" shrinkToFit="1"/>
      <protection locked="0"/>
    </xf>
    <xf numFmtId="0" fontId="37" fillId="0" borderId="2" xfId="0" applyFont="1" applyBorder="1" applyAlignment="1" applyProtection="1">
      <alignment horizontal="center" vertical="center" wrapText="1"/>
      <protection locked="0"/>
    </xf>
    <xf numFmtId="0" fontId="39" fillId="0" borderId="2" xfId="0" applyFont="1" applyBorder="1" applyAlignment="1" applyProtection="1">
      <alignment horizontal="center" vertical="center"/>
      <protection locked="0"/>
    </xf>
    <xf numFmtId="0" fontId="7" fillId="2" borderId="6" xfId="1" applyFont="1" applyBorder="1" applyAlignment="1" applyProtection="1">
      <alignment horizontal="center" vertical="center"/>
      <protection locked="0"/>
    </xf>
    <xf numFmtId="0" fontId="7" fillId="2" borderId="0" xfId="1" applyFont="1" applyBorder="1" applyAlignment="1" applyProtection="1">
      <alignment horizontal="center" vertical="center"/>
      <protection locked="0"/>
    </xf>
    <xf numFmtId="0" fontId="7" fillId="2" borderId="7" xfId="1" applyFont="1" applyBorder="1" applyAlignment="1" applyProtection="1">
      <alignment horizontal="center" vertical="center"/>
      <protection locked="0"/>
    </xf>
    <xf numFmtId="0" fontId="7" fillId="2" borderId="5" xfId="1" applyFont="1" applyBorder="1" applyAlignment="1" applyProtection="1">
      <alignment horizontal="center" vertical="center"/>
      <protection locked="0"/>
    </xf>
    <xf numFmtId="0" fontId="7" fillId="2" borderId="2" xfId="1" applyFont="1" applyBorder="1" applyAlignment="1" applyProtection="1">
      <alignment horizontal="center" vertical="center"/>
      <protection locked="0"/>
    </xf>
    <xf numFmtId="0" fontId="7" fillId="2" borderId="3" xfId="1" applyFont="1" applyBorder="1" applyAlignment="1" applyProtection="1">
      <alignment horizontal="center" vertical="center"/>
      <protection locked="0"/>
    </xf>
    <xf numFmtId="0" fontId="7" fillId="2" borderId="14" xfId="1" applyFont="1" applyBorder="1" applyAlignment="1" applyProtection="1">
      <alignment horizontal="center" vertical="center"/>
      <protection locked="0"/>
    </xf>
    <xf numFmtId="0" fontId="7" fillId="2" borderId="8" xfId="1" applyFont="1" applyBorder="1" applyAlignment="1" applyProtection="1">
      <alignment horizontal="center" vertical="center"/>
      <protection locked="0"/>
    </xf>
    <xf numFmtId="0" fontId="7" fillId="2" borderId="1" xfId="1" applyFont="1" applyBorder="1" applyAlignment="1" applyProtection="1">
      <alignment horizontal="center" vertical="center"/>
      <protection locked="0"/>
    </xf>
    <xf numFmtId="0" fontId="7" fillId="2" borderId="14" xfId="1" applyFont="1" applyBorder="1" applyAlignment="1" applyProtection="1">
      <alignment horizontal="center" vertical="center" shrinkToFit="1"/>
      <protection locked="0"/>
    </xf>
    <xf numFmtId="0" fontId="7" fillId="2" borderId="8" xfId="1" applyFont="1" applyBorder="1" applyAlignment="1" applyProtection="1">
      <alignment horizontal="center" vertical="center" shrinkToFit="1"/>
      <protection locked="0"/>
    </xf>
    <xf numFmtId="0" fontId="7" fillId="2" borderId="1" xfId="1" applyFont="1" applyBorder="1" applyAlignment="1" applyProtection="1">
      <alignment horizontal="center" vertical="center" shrinkToFit="1"/>
      <protection locked="0"/>
    </xf>
    <xf numFmtId="0" fontId="7" fillId="2" borderId="5" xfId="1" applyFont="1" applyBorder="1" applyAlignment="1" applyProtection="1">
      <alignment horizontal="center" vertical="center" shrinkToFit="1"/>
      <protection locked="0"/>
    </xf>
    <xf numFmtId="0" fontId="7" fillId="2" borderId="2" xfId="1" applyFont="1" applyBorder="1" applyAlignment="1" applyProtection="1">
      <alignment horizontal="center" vertical="center" shrinkToFit="1"/>
      <protection locked="0"/>
    </xf>
    <xf numFmtId="0" fontId="7" fillId="2" borderId="3" xfId="1" applyFont="1" applyBorder="1" applyAlignment="1" applyProtection="1">
      <alignment horizontal="center" vertical="center" shrinkToFit="1"/>
      <protection locked="0"/>
    </xf>
    <xf numFmtId="0" fontId="7" fillId="2" borderId="11" xfId="1" applyFont="1" applyBorder="1" applyAlignment="1" applyProtection="1">
      <alignment horizontal="center" vertical="center" wrapText="1"/>
      <protection locked="0"/>
    </xf>
    <xf numFmtId="0" fontId="7" fillId="0" borderId="11" xfId="0" applyFont="1" applyBorder="1" applyAlignment="1" applyProtection="1">
      <alignment horizontal="left" vertical="center" shrinkToFit="1"/>
      <protection locked="0"/>
    </xf>
    <xf numFmtId="0" fontId="7" fillId="17" borderId="11" xfId="0" applyFont="1" applyFill="1" applyBorder="1" applyAlignment="1" applyProtection="1">
      <alignment horizontal="left" vertical="center" shrinkToFit="1"/>
      <protection locked="0"/>
    </xf>
    <xf numFmtId="0" fontId="10" fillId="0" borderId="9" xfId="0" applyFont="1" applyBorder="1" applyAlignment="1" applyProtection="1">
      <alignment horizontal="center" vertical="center" wrapText="1"/>
      <protection locked="0"/>
    </xf>
    <xf numFmtId="0" fontId="10" fillId="0" borderId="10" xfId="0" applyFont="1" applyBorder="1" applyAlignment="1" applyProtection="1">
      <alignment horizontal="center" vertical="center" wrapText="1"/>
      <protection locked="0"/>
    </xf>
    <xf numFmtId="0" fontId="9" fillId="0" borderId="11" xfId="0" applyFont="1" applyBorder="1" applyAlignment="1" applyProtection="1">
      <alignment horizontal="center" vertical="center" shrinkToFit="1"/>
      <protection locked="0"/>
    </xf>
    <xf numFmtId="0" fontId="8" fillId="0" borderId="9" xfId="0" applyFont="1" applyBorder="1" applyAlignment="1" applyProtection="1">
      <alignment horizontal="center" vertical="center" shrinkToFit="1"/>
      <protection locked="0"/>
    </xf>
    <xf numFmtId="0" fontId="7" fillId="0" borderId="11" xfId="0" applyFont="1" applyBorder="1" applyAlignment="1" applyProtection="1">
      <alignment horizontal="left" vertical="center" wrapText="1"/>
      <protection locked="0"/>
    </xf>
    <xf numFmtId="0" fontId="9" fillId="0" borderId="9" xfId="0" applyFont="1" applyBorder="1" applyAlignment="1" applyProtection="1">
      <alignment horizontal="center" vertical="center" shrinkToFit="1"/>
      <protection locked="0"/>
    </xf>
    <xf numFmtId="0" fontId="7" fillId="2" borderId="4" xfId="1" applyFont="1" applyBorder="1" applyAlignment="1" applyProtection="1">
      <alignment horizontal="center" vertical="center" shrinkToFit="1"/>
      <protection locked="0"/>
    </xf>
    <xf numFmtId="0" fontId="7" fillId="2" borderId="9" xfId="1" applyFont="1" applyBorder="1" applyAlignment="1" applyProtection="1">
      <alignment horizontal="center" vertical="center" shrinkToFit="1"/>
      <protection locked="0"/>
    </xf>
    <xf numFmtId="0" fontId="7" fillId="2" borderId="10" xfId="1" applyFont="1" applyBorder="1" applyAlignment="1" applyProtection="1">
      <alignment horizontal="center" vertical="center" shrinkToFit="1"/>
      <protection locked="0"/>
    </xf>
    <xf numFmtId="38" fontId="7" fillId="0" borderId="4" xfId="2" applyFont="1" applyBorder="1" applyAlignment="1" applyProtection="1">
      <alignment horizontal="center" vertical="center" shrinkToFit="1"/>
      <protection locked="0"/>
    </xf>
    <xf numFmtId="38" fontId="7" fillId="0" borderId="9" xfId="2" applyFont="1" applyBorder="1" applyAlignment="1" applyProtection="1">
      <alignment horizontal="center" vertical="center" shrinkToFit="1"/>
      <protection locked="0"/>
    </xf>
    <xf numFmtId="38" fontId="7" fillId="0" borderId="10" xfId="2" applyFont="1" applyBorder="1" applyAlignment="1" applyProtection="1">
      <alignment horizontal="center" vertical="center" shrinkToFit="1"/>
      <protection locked="0"/>
    </xf>
    <xf numFmtId="0" fontId="7" fillId="15" borderId="0" xfId="0" applyFont="1" applyFill="1" applyAlignment="1" applyProtection="1">
      <alignment horizontal="center" vertical="center"/>
      <protection locked="0"/>
    </xf>
    <xf numFmtId="0" fontId="7" fillId="15" borderId="0" xfId="0" applyFont="1" applyFill="1" applyAlignment="1" applyProtection="1">
      <alignment horizontal="left" vertical="center" shrinkToFit="1"/>
      <protection locked="0"/>
    </xf>
    <xf numFmtId="0" fontId="7" fillId="15" borderId="0" xfId="0" applyFont="1" applyFill="1" applyAlignment="1" applyProtection="1">
      <alignment horizontal="center" vertical="center" shrinkToFit="1"/>
      <protection locked="0"/>
    </xf>
    <xf numFmtId="0" fontId="7" fillId="17" borderId="4" xfId="0" applyFont="1" applyFill="1" applyBorder="1" applyAlignment="1" applyProtection="1">
      <alignment horizontal="left" vertical="center" shrinkToFit="1"/>
      <protection locked="0"/>
    </xf>
    <xf numFmtId="0" fontId="7" fillId="17" borderId="9" xfId="0" applyFont="1" applyFill="1" applyBorder="1" applyAlignment="1" applyProtection="1">
      <alignment horizontal="left" vertical="center" shrinkToFit="1"/>
      <protection locked="0"/>
    </xf>
    <xf numFmtId="0" fontId="7" fillId="17" borderId="10" xfId="0" applyFont="1" applyFill="1" applyBorder="1" applyAlignment="1" applyProtection="1">
      <alignment horizontal="left" vertical="center" shrinkToFit="1"/>
      <protection locked="0"/>
    </xf>
    <xf numFmtId="0" fontId="9" fillId="0" borderId="4" xfId="0" applyFont="1" applyBorder="1" applyAlignment="1" applyProtection="1">
      <alignment horizontal="left" vertical="center"/>
      <protection locked="0"/>
    </xf>
    <xf numFmtId="0" fontId="9" fillId="0" borderId="9" xfId="0" applyFont="1" applyBorder="1" applyAlignment="1" applyProtection="1">
      <alignment horizontal="left" vertical="center"/>
      <protection locked="0"/>
    </xf>
    <xf numFmtId="0" fontId="9" fillId="0" borderId="10" xfId="0" applyFont="1" applyBorder="1" applyAlignment="1" applyProtection="1">
      <alignment horizontal="left" vertical="center"/>
      <protection locked="0"/>
    </xf>
    <xf numFmtId="0" fontId="7" fillId="0" borderId="4" xfId="0" applyFont="1" applyBorder="1" applyAlignment="1" applyProtection="1">
      <alignment horizontal="center" vertical="center" shrinkToFit="1"/>
      <protection locked="0"/>
    </xf>
    <xf numFmtId="0" fontId="7" fillId="0" borderId="10" xfId="0" applyFont="1" applyBorder="1" applyAlignment="1" applyProtection="1">
      <alignment horizontal="center" vertical="center" shrinkToFit="1"/>
      <protection locked="0"/>
    </xf>
    <xf numFmtId="0" fontId="40" fillId="0" borderId="4" xfId="0" applyFont="1" applyBorder="1" applyAlignment="1" applyProtection="1">
      <alignment horizontal="left" vertical="center" shrinkToFit="1"/>
      <protection locked="0"/>
    </xf>
    <xf numFmtId="0" fontId="40" fillId="0" borderId="9" xfId="0" applyFont="1" applyBorder="1" applyAlignment="1" applyProtection="1">
      <alignment horizontal="left" vertical="center" shrinkToFit="1"/>
      <protection locked="0"/>
    </xf>
    <xf numFmtId="0" fontId="40" fillId="0" borderId="10" xfId="0" applyFont="1" applyBorder="1" applyAlignment="1" applyProtection="1">
      <alignment horizontal="left" vertical="center" shrinkToFit="1"/>
      <protection locked="0"/>
    </xf>
    <xf numFmtId="0" fontId="7" fillId="0" borderId="8"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protection locked="0"/>
    </xf>
    <xf numFmtId="0" fontId="18" fillId="0" borderId="30" xfId="0" applyFont="1" applyBorder="1" applyAlignment="1">
      <alignment horizontal="left" vertical="center" wrapText="1" indent="1"/>
    </xf>
    <xf numFmtId="0" fontId="18" fillId="0" borderId="28" xfId="0" applyFont="1" applyBorder="1" applyAlignment="1">
      <alignment horizontal="left" vertical="center" wrapText="1" indent="1"/>
    </xf>
    <xf numFmtId="0" fontId="18" fillId="0" borderId="24" xfId="0" applyFont="1" applyBorder="1" applyAlignment="1">
      <alignment horizontal="left" vertical="center" wrapText="1"/>
    </xf>
    <xf numFmtId="0" fontId="18" fillId="0" borderId="22" xfId="0" applyFont="1" applyBorder="1" applyAlignment="1">
      <alignment horizontal="left" vertical="center" wrapText="1"/>
    </xf>
    <xf numFmtId="0" fontId="18" fillId="0" borderId="19" xfId="0" applyFont="1" applyBorder="1" applyAlignment="1">
      <alignment horizontal="left" vertical="center" wrapText="1"/>
    </xf>
    <xf numFmtId="0" fontId="18" fillId="0" borderId="17" xfId="0" applyFont="1" applyBorder="1" applyAlignment="1">
      <alignment horizontal="left" vertical="center" wrapText="1"/>
    </xf>
    <xf numFmtId="0" fontId="0" fillId="0" borderId="30" xfId="0" applyBorder="1" applyAlignment="1">
      <alignment horizontal="left" vertical="top" wrapText="1"/>
    </xf>
    <xf numFmtId="0" fontId="0" fillId="0" borderId="28" xfId="0" applyBorder="1" applyAlignment="1">
      <alignment horizontal="left" vertical="top" wrapText="1"/>
    </xf>
    <xf numFmtId="0" fontId="18" fillId="0" borderId="27" xfId="0" applyFont="1" applyBorder="1" applyAlignment="1">
      <alignment horizontal="left" vertical="top" wrapText="1"/>
    </xf>
    <xf numFmtId="0" fontId="18" fillId="0" borderId="26" xfId="0" applyFont="1" applyBorder="1" applyAlignment="1">
      <alignment horizontal="left" vertical="top" wrapText="1"/>
    </xf>
    <xf numFmtId="0" fontId="23" fillId="0" borderId="27" xfId="0" applyFont="1" applyBorder="1" applyAlignment="1">
      <alignment horizontal="center" vertical="top" wrapText="1"/>
    </xf>
    <xf numFmtId="0" fontId="23" fillId="0" borderId="31" xfId="0" applyFont="1" applyBorder="1" applyAlignment="1">
      <alignment horizontal="center" vertical="top" wrapText="1"/>
    </xf>
    <xf numFmtId="0" fontId="23" fillId="0" borderId="26" xfId="0" applyFont="1" applyBorder="1" applyAlignment="1">
      <alignment horizontal="center" vertical="top" wrapText="1"/>
    </xf>
    <xf numFmtId="0" fontId="18" fillId="0" borderId="24" xfId="0" applyFont="1" applyBorder="1" applyAlignment="1">
      <alignment horizontal="left" vertical="center" wrapText="1" indent="1"/>
    </xf>
    <xf numFmtId="0" fontId="18" fillId="0" borderId="22" xfId="0" applyFont="1" applyBorder="1" applyAlignment="1">
      <alignment horizontal="left" vertical="center" wrapText="1" indent="1"/>
    </xf>
    <xf numFmtId="0" fontId="18" fillId="0" borderId="19" xfId="0" applyFont="1" applyBorder="1" applyAlignment="1">
      <alignment horizontal="left" vertical="center" wrapText="1" indent="1"/>
    </xf>
    <xf numFmtId="0" fontId="18" fillId="0" borderId="17" xfId="0" applyFont="1" applyBorder="1" applyAlignment="1">
      <alignment horizontal="left" vertical="center" wrapText="1" indent="1"/>
    </xf>
    <xf numFmtId="0" fontId="18" fillId="0" borderId="24" xfId="0" applyFont="1" applyBorder="1" applyAlignment="1">
      <alignment horizontal="left" vertical="center" wrapText="1" indent="4"/>
    </xf>
    <xf numFmtId="0" fontId="18" fillId="0" borderId="22" xfId="0" applyFont="1" applyBorder="1" applyAlignment="1">
      <alignment horizontal="left" vertical="center" wrapText="1" indent="4"/>
    </xf>
    <xf numFmtId="0" fontId="18" fillId="0" borderId="19" xfId="0" applyFont="1" applyBorder="1" applyAlignment="1">
      <alignment horizontal="left" vertical="center" wrapText="1" indent="4"/>
    </xf>
    <xf numFmtId="0" fontId="18" fillId="0" borderId="17" xfId="0" applyFont="1" applyBorder="1" applyAlignment="1">
      <alignment horizontal="left" vertical="center" wrapText="1" indent="4"/>
    </xf>
    <xf numFmtId="0" fontId="18" fillId="0" borderId="30" xfId="0" applyFont="1" applyBorder="1" applyAlignment="1">
      <alignment horizontal="left" vertical="center" wrapText="1"/>
    </xf>
    <xf numFmtId="0" fontId="18" fillId="0" borderId="28" xfId="0" applyFont="1" applyBorder="1" applyAlignment="1">
      <alignment horizontal="left" vertical="center" wrapText="1"/>
    </xf>
    <xf numFmtId="0" fontId="18" fillId="8" borderId="30" xfId="0" applyFont="1" applyFill="1" applyBorder="1" applyAlignment="1">
      <alignment horizontal="left" vertical="center" wrapText="1"/>
    </xf>
    <xf numFmtId="0" fontId="18" fillId="8" borderId="28" xfId="0" applyFont="1" applyFill="1" applyBorder="1" applyAlignment="1">
      <alignment horizontal="left" vertical="center" wrapText="1"/>
    </xf>
    <xf numFmtId="0" fontId="18" fillId="0" borderId="30" xfId="0" applyFont="1" applyBorder="1" applyAlignment="1">
      <alignment horizontal="center" vertical="center" wrapText="1"/>
    </xf>
    <xf numFmtId="0" fontId="18" fillId="0" borderId="28" xfId="0" applyFont="1" applyBorder="1" applyAlignment="1">
      <alignment horizontal="center" vertical="center" wrapText="1"/>
    </xf>
    <xf numFmtId="0" fontId="18" fillId="0" borderId="27" xfId="0" applyFont="1" applyBorder="1" applyAlignment="1">
      <alignment horizontal="center" vertical="top" wrapText="1"/>
    </xf>
    <xf numFmtId="0" fontId="18" fillId="0" borderId="26" xfId="0" applyFont="1" applyBorder="1" applyAlignment="1">
      <alignment horizontal="center" vertical="top" wrapText="1"/>
    </xf>
    <xf numFmtId="0" fontId="18" fillId="0" borderId="30" xfId="0" applyFont="1" applyBorder="1" applyAlignment="1">
      <alignment horizontal="left" vertical="top" wrapText="1"/>
    </xf>
    <xf numFmtId="0" fontId="18" fillId="0" borderId="28" xfId="0" applyFont="1" applyBorder="1" applyAlignment="1">
      <alignment horizontal="left" vertical="top" wrapText="1"/>
    </xf>
    <xf numFmtId="10" fontId="20" fillId="0" borderId="30" xfId="0" applyNumberFormat="1" applyFont="1" applyBorder="1" applyAlignment="1">
      <alignment horizontal="left" vertical="top" indent="1" shrinkToFit="1"/>
    </xf>
    <xf numFmtId="10" fontId="20" fillId="0" borderId="28" xfId="0" applyNumberFormat="1" applyFont="1" applyBorder="1" applyAlignment="1">
      <alignment horizontal="left" vertical="top" indent="1" shrinkToFit="1"/>
    </xf>
    <xf numFmtId="0" fontId="18" fillId="0" borderId="30" xfId="0" applyFont="1" applyBorder="1" applyAlignment="1">
      <alignment horizontal="left" vertical="top" wrapText="1" indent="1"/>
    </xf>
    <xf numFmtId="0" fontId="18" fillId="0" borderId="28" xfId="0" applyFont="1" applyBorder="1" applyAlignment="1">
      <alignment horizontal="left" vertical="top" wrapText="1" indent="1"/>
    </xf>
    <xf numFmtId="0" fontId="0" fillId="0" borderId="29" xfId="0" applyBorder="1" applyAlignment="1">
      <alignment horizontal="left" vertical="top" wrapText="1"/>
    </xf>
    <xf numFmtId="0" fontId="18" fillId="0" borderId="29" xfId="0" applyFont="1" applyBorder="1" applyAlignment="1">
      <alignment horizontal="left" vertical="center" wrapText="1"/>
    </xf>
    <xf numFmtId="10" fontId="20" fillId="0" borderId="30" xfId="0" applyNumberFormat="1" applyFont="1" applyBorder="1" applyAlignment="1">
      <alignment horizontal="left" vertical="center" indent="1" shrinkToFit="1"/>
    </xf>
    <xf numFmtId="10" fontId="20" fillId="0" borderId="29" xfId="0" applyNumberFormat="1" applyFont="1" applyBorder="1" applyAlignment="1">
      <alignment horizontal="left" vertical="center" indent="1" shrinkToFit="1"/>
    </xf>
    <xf numFmtId="10" fontId="20" fillId="0" borderId="28" xfId="0" applyNumberFormat="1" applyFont="1" applyBorder="1" applyAlignment="1">
      <alignment horizontal="left" vertical="center" indent="1" shrinkToFit="1"/>
    </xf>
    <xf numFmtId="0" fontId="18" fillId="7" borderId="24" xfId="0" applyFont="1" applyFill="1" applyBorder="1" applyAlignment="1">
      <alignment horizontal="left" vertical="top" wrapText="1"/>
    </xf>
    <xf numFmtId="0" fontId="18" fillId="7" borderId="23" xfId="0" applyFont="1" applyFill="1" applyBorder="1" applyAlignment="1">
      <alignment horizontal="left" vertical="top" wrapText="1"/>
    </xf>
    <xf numFmtId="0" fontId="18" fillId="7" borderId="22" xfId="0" applyFont="1" applyFill="1" applyBorder="1" applyAlignment="1">
      <alignment horizontal="left" vertical="top" wrapText="1"/>
    </xf>
    <xf numFmtId="0" fontId="0" fillId="7" borderId="29" xfId="0" applyFill="1" applyBorder="1" applyAlignment="1">
      <alignment horizontal="left" vertical="top" wrapText="1"/>
    </xf>
    <xf numFmtId="0" fontId="0" fillId="7" borderId="28" xfId="0" applyFill="1" applyBorder="1" applyAlignment="1">
      <alignment horizontal="left" vertical="top" wrapText="1"/>
    </xf>
    <xf numFmtId="0" fontId="18" fillId="0" borderId="27" xfId="0" applyFont="1" applyBorder="1" applyAlignment="1">
      <alignment horizontal="left" vertical="center" wrapText="1"/>
    </xf>
    <xf numFmtId="0" fontId="18" fillId="0" borderId="26" xfId="0" applyFont="1" applyBorder="1" applyAlignment="1">
      <alignment horizontal="left" vertical="center" wrapText="1"/>
    </xf>
    <xf numFmtId="0" fontId="18" fillId="0" borderId="30" xfId="0" applyFont="1" applyBorder="1" applyAlignment="1">
      <alignment horizontal="left" vertical="center" wrapText="1" indent="4"/>
    </xf>
    <xf numFmtId="0" fontId="18" fillId="0" borderId="28" xfId="0" applyFont="1" applyBorder="1" applyAlignment="1">
      <alignment horizontal="left" vertical="center" wrapText="1" indent="4"/>
    </xf>
    <xf numFmtId="0" fontId="18" fillId="0" borderId="29" xfId="0" applyFont="1" applyBorder="1" applyAlignment="1">
      <alignment horizontal="left" vertical="center" wrapText="1" indent="1"/>
    </xf>
    <xf numFmtId="0" fontId="18" fillId="6" borderId="24" xfId="0" applyFont="1" applyFill="1" applyBorder="1" applyAlignment="1">
      <alignment horizontal="left" vertical="top" wrapText="1"/>
    </xf>
    <xf numFmtId="0" fontId="18" fillId="6" borderId="23" xfId="0" applyFont="1" applyFill="1" applyBorder="1" applyAlignment="1">
      <alignment horizontal="left" vertical="top" wrapText="1"/>
    </xf>
    <xf numFmtId="0" fontId="18" fillId="6" borderId="22" xfId="0" applyFont="1" applyFill="1" applyBorder="1" applyAlignment="1">
      <alignment horizontal="left" vertical="top" wrapText="1"/>
    </xf>
    <xf numFmtId="0" fontId="0" fillId="6" borderId="29" xfId="0" applyFill="1" applyBorder="1" applyAlignment="1">
      <alignment horizontal="left" vertical="top" wrapText="1"/>
    </xf>
    <xf numFmtId="0" fontId="0" fillId="6" borderId="28" xfId="0" applyFill="1" applyBorder="1" applyAlignment="1">
      <alignment horizontal="left" vertical="top" wrapText="1"/>
    </xf>
    <xf numFmtId="0" fontId="21" fillId="0" borderId="30" xfId="0" applyFont="1" applyBorder="1" applyAlignment="1">
      <alignment horizontal="left" vertical="center" wrapText="1"/>
    </xf>
    <xf numFmtId="0" fontId="21" fillId="0" borderId="29" xfId="0" applyFont="1" applyBorder="1" applyAlignment="1">
      <alignment horizontal="left" vertical="center" wrapText="1"/>
    </xf>
    <xf numFmtId="0" fontId="21" fillId="0" borderId="28" xfId="0" applyFont="1" applyBorder="1" applyAlignment="1">
      <alignment horizontal="left" vertical="center" wrapText="1"/>
    </xf>
    <xf numFmtId="0" fontId="0" fillId="0" borderId="30" xfId="0" applyBorder="1" applyAlignment="1">
      <alignment horizontal="left" vertical="center" wrapText="1"/>
    </xf>
    <xf numFmtId="0" fontId="0" fillId="0" borderId="29" xfId="0" applyBorder="1" applyAlignment="1">
      <alignment horizontal="left" vertical="center" wrapText="1"/>
    </xf>
    <xf numFmtId="0" fontId="0" fillId="0" borderId="28" xfId="0" applyBorder="1" applyAlignment="1">
      <alignment horizontal="left" vertical="center" wrapText="1"/>
    </xf>
    <xf numFmtId="0" fontId="18" fillId="5" borderId="24" xfId="0" applyFont="1" applyFill="1" applyBorder="1" applyAlignment="1">
      <alignment horizontal="left" vertical="top" wrapText="1"/>
    </xf>
    <xf numFmtId="0" fontId="18" fillId="5" borderId="23" xfId="0" applyFont="1" applyFill="1" applyBorder="1" applyAlignment="1">
      <alignment horizontal="left" vertical="top" wrapText="1"/>
    </xf>
    <xf numFmtId="0" fontId="18" fillId="5" borderId="22" xfId="0" applyFont="1" applyFill="1" applyBorder="1" applyAlignment="1">
      <alignment horizontal="left" vertical="top" wrapText="1"/>
    </xf>
    <xf numFmtId="0" fontId="0" fillId="5" borderId="29" xfId="0" applyFill="1" applyBorder="1" applyAlignment="1">
      <alignment horizontal="left" vertical="top" wrapText="1"/>
    </xf>
    <xf numFmtId="0" fontId="0" fillId="5" borderId="28" xfId="0" applyFill="1" applyBorder="1" applyAlignment="1">
      <alignment horizontal="left" vertical="top" wrapText="1"/>
    </xf>
    <xf numFmtId="0" fontId="16" fillId="0" borderId="24" xfId="0" applyFont="1" applyBorder="1" applyAlignment="1">
      <alignment horizontal="left" vertical="center" wrapText="1" indent="3"/>
    </xf>
    <xf numFmtId="0" fontId="16" fillId="0" borderId="23" xfId="0" applyFont="1" applyBorder="1" applyAlignment="1">
      <alignment horizontal="left" vertical="center" wrapText="1" indent="3"/>
    </xf>
    <xf numFmtId="0" fontId="16" fillId="0" borderId="22" xfId="0" applyFont="1" applyBorder="1" applyAlignment="1">
      <alignment horizontal="left" vertical="center" wrapText="1" indent="3"/>
    </xf>
    <xf numFmtId="0" fontId="16" fillId="0" borderId="21" xfId="0" applyFont="1" applyBorder="1" applyAlignment="1">
      <alignment horizontal="left" vertical="top" wrapText="1" indent="3"/>
    </xf>
    <xf numFmtId="0" fontId="16" fillId="0" borderId="0" xfId="0" applyFont="1" applyAlignment="1">
      <alignment horizontal="left" vertical="top" wrapText="1" indent="3"/>
    </xf>
    <xf numFmtId="0" fontId="16" fillId="0" borderId="20" xfId="0" applyFont="1" applyBorder="1" applyAlignment="1">
      <alignment horizontal="left" vertical="top" wrapText="1" indent="3"/>
    </xf>
    <xf numFmtId="0" fontId="0" fillId="0" borderId="21" xfId="0" applyBorder="1" applyAlignment="1">
      <alignment horizontal="left" vertical="top" wrapText="1" indent="3"/>
    </xf>
    <xf numFmtId="0" fontId="0" fillId="0" borderId="0" xfId="0" applyAlignment="1">
      <alignment horizontal="left" vertical="top" wrapText="1" indent="3"/>
    </xf>
    <xf numFmtId="0" fontId="0" fillId="0" borderId="20" xfId="0" applyBorder="1" applyAlignment="1">
      <alignment horizontal="left" vertical="top" wrapText="1" indent="3"/>
    </xf>
    <xf numFmtId="0" fontId="16" fillId="0" borderId="19" xfId="0" applyFont="1" applyBorder="1" applyAlignment="1">
      <alignment horizontal="left" vertical="top" wrapText="1" indent="3"/>
    </xf>
    <xf numFmtId="0" fontId="16" fillId="0" borderId="18" xfId="0" applyFont="1" applyBorder="1" applyAlignment="1">
      <alignment horizontal="left" vertical="top" wrapText="1" indent="3"/>
    </xf>
    <xf numFmtId="0" fontId="16" fillId="0" borderId="17" xfId="0" applyFont="1" applyBorder="1" applyAlignment="1">
      <alignment horizontal="left" vertical="top" wrapText="1" indent="3"/>
    </xf>
    <xf numFmtId="0" fontId="18" fillId="4" borderId="24" xfId="0" applyFont="1" applyFill="1" applyBorder="1" applyAlignment="1">
      <alignment horizontal="left" vertical="top" wrapText="1"/>
    </xf>
    <xf numFmtId="0" fontId="18" fillId="4" borderId="23" xfId="0" applyFont="1" applyFill="1" applyBorder="1" applyAlignment="1">
      <alignment horizontal="left" vertical="top" wrapText="1"/>
    </xf>
    <xf numFmtId="0" fontId="18" fillId="4" borderId="22" xfId="0" applyFont="1" applyFill="1" applyBorder="1" applyAlignment="1">
      <alignment horizontal="left" vertical="top" wrapText="1"/>
    </xf>
    <xf numFmtId="0" fontId="0" fillId="4" borderId="29" xfId="0" applyFill="1" applyBorder="1" applyAlignment="1">
      <alignment horizontal="left" vertical="top" wrapText="1"/>
    </xf>
    <xf numFmtId="0" fontId="0" fillId="4" borderId="28" xfId="0" applyFill="1" applyBorder="1" applyAlignment="1">
      <alignment horizontal="left" vertical="top" wrapText="1"/>
    </xf>
    <xf numFmtId="0" fontId="0" fillId="0" borderId="4"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11" fillId="15" borderId="0" xfId="0" applyFont="1" applyFill="1" applyAlignment="1" applyProtection="1">
      <alignment horizontal="left" vertical="center" shrinkToFit="1"/>
      <protection locked="0"/>
    </xf>
    <xf numFmtId="0" fontId="11" fillId="15" borderId="0" xfId="0" applyFont="1" applyFill="1" applyAlignment="1" applyProtection="1">
      <alignment horizontal="left" vertical="center"/>
      <protection locked="0"/>
    </xf>
    <xf numFmtId="0" fontId="11" fillId="14" borderId="4" xfId="0" applyFont="1" applyFill="1" applyBorder="1" applyAlignment="1" applyProtection="1">
      <alignment horizontal="left" vertical="center" shrinkToFit="1"/>
      <protection locked="0"/>
    </xf>
    <xf numFmtId="0" fontId="11" fillId="14" borderId="9" xfId="0" applyFont="1" applyFill="1" applyBorder="1" applyAlignment="1" applyProtection="1">
      <alignment horizontal="left" vertical="center" shrinkToFit="1"/>
      <protection locked="0"/>
    </xf>
    <xf numFmtId="0" fontId="11" fillId="14" borderId="10" xfId="0" applyFont="1" applyFill="1" applyBorder="1" applyAlignment="1" applyProtection="1">
      <alignment horizontal="left" vertical="center" shrinkToFit="1"/>
      <protection locked="0"/>
    </xf>
    <xf numFmtId="0" fontId="36" fillId="14" borderId="11" xfId="5" applyFont="1" applyFill="1" applyBorder="1" applyAlignment="1" applyProtection="1">
      <alignment horizontal="left" vertical="center" shrinkToFit="1"/>
      <protection locked="0"/>
    </xf>
    <xf numFmtId="0" fontId="11" fillId="14" borderId="11" xfId="0" applyFont="1" applyFill="1" applyBorder="1" applyAlignment="1" applyProtection="1">
      <alignment horizontal="left" vertical="center" shrinkToFit="1"/>
      <protection locked="0"/>
    </xf>
    <xf numFmtId="0" fontId="11" fillId="0" borderId="5" xfId="0" applyFont="1" applyBorder="1" applyAlignment="1" applyProtection="1">
      <alignment horizontal="left" vertical="center"/>
      <protection locked="0"/>
    </xf>
    <xf numFmtId="0" fontId="11" fillId="0" borderId="2" xfId="0" applyFont="1" applyBorder="1" applyAlignment="1" applyProtection="1">
      <alignment horizontal="left" vertical="center"/>
      <protection locked="0"/>
    </xf>
    <xf numFmtId="0" fontId="11" fillId="0" borderId="3" xfId="0" applyFont="1" applyBorder="1" applyAlignment="1" applyProtection="1">
      <alignment horizontal="left" vertical="center"/>
      <protection locked="0"/>
    </xf>
    <xf numFmtId="0" fontId="11" fillId="15" borderId="0" xfId="0" applyFont="1" applyFill="1" applyAlignment="1" applyProtection="1">
      <alignment horizontal="center" vertical="center"/>
      <protection locked="0"/>
    </xf>
    <xf numFmtId="0" fontId="8" fillId="0" borderId="4" xfId="0" applyFont="1" applyBorder="1" applyAlignment="1" applyProtection="1">
      <alignment horizontal="center" vertical="center" shrinkToFit="1"/>
      <protection locked="0"/>
    </xf>
    <xf numFmtId="0" fontId="7" fillId="0" borderId="14" xfId="0" applyFont="1" applyBorder="1" applyAlignment="1" applyProtection="1">
      <alignment horizontal="center" vertical="center" wrapText="1"/>
      <protection locked="0"/>
    </xf>
    <xf numFmtId="0" fontId="8" fillId="0" borderId="9" xfId="0" applyFont="1" applyBorder="1" applyAlignment="1" applyProtection="1">
      <alignment horizontal="center" vertical="center" wrapText="1"/>
      <protection locked="0"/>
    </xf>
    <xf numFmtId="0" fontId="8" fillId="0" borderId="9" xfId="0" applyFont="1" applyBorder="1" applyAlignment="1" applyProtection="1">
      <alignment horizontal="center" vertical="center"/>
      <protection locked="0"/>
    </xf>
    <xf numFmtId="0" fontId="8" fillId="0" borderId="10" xfId="0" applyFont="1" applyBorder="1" applyAlignment="1" applyProtection="1">
      <alignment horizontal="center" vertical="center"/>
      <protection locked="0"/>
    </xf>
    <xf numFmtId="3" fontId="11" fillId="0" borderId="4" xfId="0" applyNumberFormat="1" applyFont="1" applyBorder="1" applyAlignment="1" applyProtection="1">
      <alignment horizontal="center" vertical="center" shrinkToFit="1"/>
      <protection locked="0"/>
    </xf>
    <xf numFmtId="3" fontId="11" fillId="0" borderId="9" xfId="0" applyNumberFormat="1" applyFont="1" applyBorder="1" applyAlignment="1" applyProtection="1">
      <alignment horizontal="center" vertical="center" shrinkToFit="1"/>
      <protection locked="0"/>
    </xf>
    <xf numFmtId="0" fontId="11" fillId="0" borderId="4"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49" fontId="11" fillId="14" borderId="4" xfId="0" applyNumberFormat="1" applyFont="1" applyFill="1" applyBorder="1" applyAlignment="1" applyProtection="1">
      <alignment horizontal="left" vertical="center"/>
      <protection locked="0"/>
    </xf>
    <xf numFmtId="49" fontId="11" fillId="14" borderId="9" xfId="0" applyNumberFormat="1" applyFont="1" applyFill="1" applyBorder="1" applyAlignment="1" applyProtection="1">
      <alignment horizontal="left" vertical="center"/>
      <protection locked="0"/>
    </xf>
    <xf numFmtId="49" fontId="11" fillId="14" borderId="10" xfId="0" applyNumberFormat="1" applyFont="1" applyFill="1" applyBorder="1" applyAlignment="1" applyProtection="1">
      <alignment horizontal="left" vertical="center"/>
      <protection locked="0"/>
    </xf>
    <xf numFmtId="0" fontId="12" fillId="16" borderId="8" xfId="0" applyFont="1" applyFill="1" applyBorder="1" applyAlignment="1" applyProtection="1">
      <alignment horizontal="left" vertical="center" wrapText="1"/>
      <protection locked="0"/>
    </xf>
    <xf numFmtId="0" fontId="12" fillId="16" borderId="1" xfId="0" applyFont="1" applyFill="1" applyBorder="1" applyAlignment="1" applyProtection="1">
      <alignment horizontal="left" vertical="center" wrapText="1"/>
      <protection locked="0"/>
    </xf>
    <xf numFmtId="0" fontId="12" fillId="16" borderId="2" xfId="0" applyFont="1" applyFill="1" applyBorder="1" applyAlignment="1" applyProtection="1">
      <alignment horizontal="left" vertical="center" wrapText="1"/>
      <protection locked="0"/>
    </xf>
    <xf numFmtId="0" fontId="12" fillId="16" borderId="3" xfId="0" applyFont="1" applyFill="1" applyBorder="1" applyAlignment="1" applyProtection="1">
      <alignment horizontal="left" vertical="center" wrapText="1"/>
      <protection locked="0"/>
    </xf>
    <xf numFmtId="0" fontId="11" fillId="0" borderId="4" xfId="0" applyFont="1" applyBorder="1" applyAlignment="1" applyProtection="1">
      <alignment horizontal="center" vertical="center" shrinkToFit="1"/>
      <protection locked="0"/>
    </xf>
    <xf numFmtId="0" fontId="11" fillId="0" borderId="9" xfId="0" applyFont="1" applyBorder="1" applyAlignment="1" applyProtection="1">
      <alignment horizontal="center" vertical="center" shrinkToFit="1"/>
      <protection locked="0"/>
    </xf>
    <xf numFmtId="0" fontId="11" fillId="0" borderId="10" xfId="0" applyFont="1" applyBorder="1" applyAlignment="1" applyProtection="1">
      <alignment horizontal="center" vertical="center" shrinkToFit="1"/>
      <protection locked="0"/>
    </xf>
    <xf numFmtId="176" fontId="11" fillId="16" borderId="4" xfId="0" applyNumberFormat="1" applyFont="1" applyFill="1" applyBorder="1" applyAlignment="1" applyProtection="1">
      <alignment horizontal="center" vertical="center" shrinkToFit="1"/>
      <protection locked="0"/>
    </xf>
    <xf numFmtId="176" fontId="11" fillId="16" borderId="9" xfId="0" applyNumberFormat="1" applyFont="1" applyFill="1" applyBorder="1" applyAlignment="1" applyProtection="1">
      <alignment horizontal="center" vertical="center" shrinkToFit="1"/>
      <protection locked="0"/>
    </xf>
    <xf numFmtId="176" fontId="11" fillId="16" borderId="10" xfId="0" applyNumberFormat="1" applyFont="1" applyFill="1" applyBorder="1" applyAlignment="1" applyProtection="1">
      <alignment horizontal="center" vertical="center" shrinkToFit="1"/>
      <protection locked="0"/>
    </xf>
    <xf numFmtId="177" fontId="11" fillId="16" borderId="4" xfId="0" applyNumberFormat="1" applyFont="1" applyFill="1" applyBorder="1" applyAlignment="1" applyProtection="1">
      <alignment horizontal="center" vertical="center" shrinkToFit="1"/>
      <protection locked="0"/>
    </xf>
    <xf numFmtId="177" fontId="11" fillId="16" borderId="9" xfId="0" applyNumberFormat="1" applyFont="1" applyFill="1" applyBorder="1" applyAlignment="1" applyProtection="1">
      <alignment horizontal="center" vertical="center" shrinkToFit="1"/>
      <protection locked="0"/>
    </xf>
    <xf numFmtId="177" fontId="11" fillId="16" borderId="10" xfId="0" applyNumberFormat="1" applyFont="1" applyFill="1" applyBorder="1" applyAlignment="1" applyProtection="1">
      <alignment horizontal="center" vertical="center" shrinkToFit="1"/>
      <protection locked="0"/>
    </xf>
    <xf numFmtId="0" fontId="11" fillId="14" borderId="14" xfId="0" applyFont="1" applyFill="1" applyBorder="1" applyAlignment="1" applyProtection="1">
      <alignment horizontal="left" vertical="center" wrapText="1"/>
      <protection locked="0"/>
    </xf>
    <xf numFmtId="0" fontId="11" fillId="14" borderId="8" xfId="0" applyFont="1" applyFill="1" applyBorder="1" applyAlignment="1" applyProtection="1">
      <alignment horizontal="left" vertical="center" wrapText="1"/>
      <protection locked="0"/>
    </xf>
    <xf numFmtId="0" fontId="11" fillId="14" borderId="1" xfId="0" applyFont="1" applyFill="1" applyBorder="1" applyAlignment="1" applyProtection="1">
      <alignment horizontal="left" vertical="center" wrapText="1"/>
      <protection locked="0"/>
    </xf>
    <xf numFmtId="0" fontId="11" fillId="14" borderId="5" xfId="0" applyFont="1" applyFill="1" applyBorder="1" applyAlignment="1" applyProtection="1">
      <alignment horizontal="left" vertical="center" wrapText="1"/>
      <protection locked="0"/>
    </xf>
    <xf numFmtId="0" fontId="11" fillId="14" borderId="2" xfId="0" applyFont="1" applyFill="1" applyBorder="1" applyAlignment="1" applyProtection="1">
      <alignment horizontal="left" vertical="center" wrapText="1"/>
      <protection locked="0"/>
    </xf>
    <xf numFmtId="0" fontId="11" fillId="14" borderId="3" xfId="0" applyFont="1" applyFill="1" applyBorder="1" applyAlignment="1" applyProtection="1">
      <alignment horizontal="left" vertical="center" wrapText="1"/>
      <protection locked="0"/>
    </xf>
    <xf numFmtId="0" fontId="11" fillId="14" borderId="5" xfId="0" applyFont="1" applyFill="1" applyBorder="1" applyAlignment="1" applyProtection="1">
      <alignment horizontal="left" vertical="center" shrinkToFit="1"/>
      <protection locked="0"/>
    </xf>
    <xf numFmtId="0" fontId="11" fillId="14" borderId="2" xfId="0" applyFont="1" applyFill="1" applyBorder="1" applyAlignment="1" applyProtection="1">
      <alignment horizontal="left" vertical="center" shrinkToFit="1"/>
      <protection locked="0"/>
    </xf>
    <xf numFmtId="0" fontId="11" fillId="0" borderId="11" xfId="0" applyFont="1" applyBorder="1" applyAlignment="1" applyProtection="1">
      <alignment horizontal="left" vertical="center"/>
      <protection locked="0"/>
    </xf>
    <xf numFmtId="0" fontId="12" fillId="14" borderId="9" xfId="0" applyFont="1" applyFill="1" applyBorder="1" applyAlignment="1" applyProtection="1">
      <alignment horizontal="left" vertical="center"/>
      <protection locked="0"/>
    </xf>
    <xf numFmtId="0" fontId="12" fillId="14" borderId="10" xfId="0" applyFont="1" applyFill="1" applyBorder="1" applyAlignment="1" applyProtection="1">
      <alignment horizontal="left" vertical="center"/>
      <protection locked="0"/>
    </xf>
  </cellXfs>
  <cellStyles count="9">
    <cellStyle name="40% - アクセント 1" xfId="1" builtinId="31"/>
    <cellStyle name="ハイパーリンク" xfId="5" builtinId="8"/>
    <cellStyle name="桁区切り" xfId="2" builtinId="6"/>
    <cellStyle name="桁区切り 2" xfId="7" xr:uid="{00000000-0005-0000-0000-000032000000}"/>
    <cellStyle name="見出し 2" xfId="3" builtinId="17"/>
    <cellStyle name="標準" xfId="0" builtinId="0"/>
    <cellStyle name="標準 2" xfId="4" xr:uid="{00000000-0005-0000-0000-000004000000}"/>
    <cellStyle name="標準 3" xfId="8" xr:uid="{00000000-0005-0000-0000-000003000000}"/>
    <cellStyle name="標準 4" xfId="6" xr:uid="{00000000-0005-0000-0000-000033000000}"/>
  </cellStyles>
  <dxfs count="171">
    <dxf>
      <fill>
        <patternFill>
          <bgColor rgb="FFA3FFEC"/>
        </patternFill>
      </fill>
    </dxf>
    <dxf>
      <fill>
        <patternFill patternType="none">
          <bgColor auto="1"/>
        </patternFill>
      </fill>
    </dxf>
    <dxf>
      <font>
        <color auto="1"/>
      </font>
      <fill>
        <patternFill>
          <fgColor auto="1"/>
          <bgColor rgb="FFA7FFEE"/>
        </patternFill>
      </fill>
    </dxf>
    <dxf>
      <fill>
        <patternFill patternType="none">
          <bgColor auto="1"/>
        </patternFill>
      </fill>
    </dxf>
    <dxf>
      <fill>
        <patternFill patternType="solid">
          <bgColor rgb="FFABFFEF"/>
        </patternFill>
      </fill>
    </dxf>
    <dxf>
      <fill>
        <patternFill patternType="none">
          <bgColor auto="1"/>
        </patternFill>
      </fill>
    </dxf>
    <dxf>
      <fill>
        <patternFill patternType="none">
          <bgColor auto="1"/>
        </patternFill>
      </fill>
    </dxf>
    <dxf>
      <fill>
        <patternFill patternType="lightGray">
          <bgColor auto="1"/>
        </patternFill>
      </fill>
    </dxf>
    <dxf>
      <fill>
        <patternFill>
          <bgColor rgb="FFA7FFEE"/>
        </patternFill>
      </fill>
    </dxf>
    <dxf>
      <fill>
        <patternFill patternType="none">
          <bgColor auto="1"/>
        </patternFill>
      </fill>
    </dxf>
    <dxf>
      <fill>
        <patternFill patternType="none">
          <bgColor auto="1"/>
        </patternFill>
      </fill>
    </dxf>
    <dxf>
      <font>
        <b val="0"/>
        <i val="0"/>
        <strike val="0"/>
      </font>
      <numFmt numFmtId="0" formatCode="General"/>
      <fill>
        <patternFill patternType="none">
          <bgColor auto="1"/>
        </patternFill>
      </fill>
    </dxf>
    <dxf>
      <fill>
        <patternFill>
          <bgColor rgb="FF9FFFED"/>
        </patternFill>
      </fill>
    </dxf>
    <dxf>
      <fill>
        <patternFill patternType="none">
          <bgColor auto="1"/>
        </patternFill>
      </fill>
    </dxf>
    <dxf>
      <fill>
        <patternFill patternType="lightGray">
          <bgColor auto="1"/>
        </patternFill>
      </fill>
    </dxf>
    <dxf>
      <fill>
        <patternFill>
          <bgColor rgb="FFB7FFF1"/>
        </patternFill>
      </fill>
    </dxf>
    <dxf>
      <fill>
        <patternFill patternType="lightGray">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ill>
        <patternFill>
          <bgColor rgb="FFABFFEF"/>
        </patternFill>
      </fill>
    </dxf>
    <dxf>
      <fill>
        <patternFill patternType="none">
          <bgColor auto="1"/>
        </patternFill>
      </fill>
    </dxf>
    <dxf>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ont>
        <color theme="0"/>
      </font>
      <fill>
        <patternFill patternType="none">
          <bgColor auto="1"/>
        </patternFill>
      </fill>
    </dxf>
    <dxf>
      <fill>
        <patternFill>
          <bgColor rgb="FFAFFFF0"/>
        </patternFill>
      </fill>
    </dxf>
    <dxf>
      <fill>
        <patternFill patternType="none">
          <bgColor auto="1"/>
        </patternFill>
      </fill>
    </dxf>
    <dxf>
      <fill>
        <patternFill patternType="lightGray">
          <bgColor auto="1"/>
        </patternFill>
      </fill>
    </dxf>
    <dxf>
      <fill>
        <patternFill>
          <bgColor rgb="FFAFFFF0"/>
        </patternFill>
      </fill>
    </dxf>
    <dxf>
      <fill>
        <patternFill patternType="none">
          <bgColor auto="1"/>
        </patternFill>
      </fill>
    </dxf>
    <dxf>
      <fill>
        <patternFill>
          <bgColor rgb="FFB7FFF1"/>
        </patternFill>
      </fill>
    </dxf>
    <dxf>
      <fill>
        <patternFill>
          <bgColor rgb="FFBDFFF2"/>
        </patternFill>
      </fill>
    </dxf>
    <dxf>
      <fill>
        <patternFill patternType="none">
          <bgColor auto="1"/>
        </patternFill>
      </fill>
    </dxf>
    <dxf>
      <fill>
        <patternFill>
          <bgColor rgb="FFB3FFF1"/>
        </patternFill>
      </fill>
    </dxf>
    <dxf>
      <fill>
        <patternFill patternType="lightGray">
          <bgColor auto="1"/>
        </patternFill>
      </fill>
    </dxf>
    <dxf>
      <fill>
        <patternFill>
          <bgColor rgb="FFB7FFF1"/>
        </patternFill>
      </fill>
    </dxf>
    <dxf>
      <fill>
        <patternFill patternType="none">
          <bgColor auto="1"/>
        </patternFill>
      </fill>
    </dxf>
    <dxf>
      <fill>
        <patternFill>
          <bgColor rgb="FF9BFFEC"/>
        </patternFill>
      </fill>
    </dxf>
    <dxf>
      <fill>
        <patternFill>
          <bgColor rgb="FFA7FFEE"/>
        </patternFill>
      </fill>
    </dxf>
    <dxf>
      <fill>
        <patternFill>
          <bgColor rgb="FF8FFFEA"/>
        </patternFill>
      </fill>
    </dxf>
    <dxf>
      <fill>
        <patternFill patternType="none">
          <bgColor auto="1"/>
        </patternFill>
      </fill>
    </dxf>
    <dxf>
      <fill>
        <patternFill patternType="none">
          <bgColor auto="1"/>
        </patternFill>
      </fill>
    </dxf>
    <dxf>
      <fill>
        <patternFill patternType="none">
          <bgColor auto="1"/>
        </patternFill>
      </fill>
    </dxf>
    <dxf>
      <fill>
        <patternFill>
          <bgColor rgb="FFB7FFF1"/>
        </patternFill>
      </fill>
    </dxf>
    <dxf>
      <fill>
        <patternFill patternType="lightGray">
          <bgColor auto="1"/>
        </patternFill>
      </fill>
    </dxf>
    <dxf>
      <fill>
        <patternFill>
          <bgColor rgb="FFB9FFF2"/>
        </patternFill>
      </fill>
    </dxf>
    <dxf>
      <fill>
        <patternFill patternType="none">
          <bgColor auto="1"/>
        </patternFill>
      </fill>
    </dxf>
    <dxf>
      <fill>
        <patternFill>
          <bgColor rgb="FFA3FFED"/>
        </patternFill>
      </fill>
    </dxf>
    <dxf>
      <fill>
        <patternFill patternType="none">
          <bgColor auto="1"/>
        </patternFill>
      </fill>
    </dxf>
    <dxf>
      <fill>
        <patternFill>
          <bgColor rgb="FFA7FFEE"/>
        </patternFill>
      </fill>
    </dxf>
    <dxf>
      <fill>
        <patternFill patternType="none">
          <bgColor auto="1"/>
        </patternFill>
      </fill>
    </dxf>
    <dxf>
      <fill>
        <patternFill>
          <bgColor rgb="FFA7FFEE"/>
        </patternFill>
      </fill>
    </dxf>
    <dxf>
      <fill>
        <patternFill patternType="none">
          <bgColor auto="1"/>
        </patternFill>
      </fill>
    </dxf>
    <dxf>
      <font>
        <color theme="0"/>
      </font>
      <fill>
        <patternFill patternType="none">
          <bgColor auto="1"/>
        </patternFill>
      </fill>
    </dxf>
    <dxf>
      <fill>
        <patternFill>
          <bgColor rgb="FF9BFFEC"/>
        </patternFill>
      </fill>
    </dxf>
    <dxf>
      <fill>
        <patternFill>
          <bgColor rgb="FFA7FFEE"/>
        </patternFill>
      </fill>
    </dxf>
    <dxf>
      <font>
        <strike val="0"/>
      </font>
    </dxf>
    <dxf>
      <font>
        <b val="0"/>
        <i val="0"/>
        <strike val="0"/>
        <color auto="1"/>
      </font>
      <fill>
        <patternFill patternType="none">
          <bgColor auto="1"/>
        </patternFill>
      </fill>
    </dxf>
    <dxf>
      <fill>
        <patternFill>
          <bgColor rgb="FFA3FFEC"/>
        </patternFill>
      </fill>
    </dxf>
    <dxf>
      <fill>
        <patternFill patternType="none">
          <bgColor auto="1"/>
        </patternFill>
      </fill>
    </dxf>
    <dxf>
      <font>
        <color auto="1"/>
      </font>
      <fill>
        <patternFill>
          <fgColor auto="1"/>
          <bgColor rgb="FFA7FFEE"/>
        </patternFill>
      </fill>
    </dxf>
    <dxf>
      <fill>
        <patternFill patternType="none">
          <bgColor auto="1"/>
        </patternFill>
      </fill>
    </dxf>
    <dxf>
      <fill>
        <patternFill patternType="solid">
          <bgColor rgb="FFABFFEF"/>
        </patternFill>
      </fill>
    </dxf>
    <dxf>
      <fill>
        <patternFill patternType="none">
          <bgColor auto="1"/>
        </patternFill>
      </fill>
    </dxf>
    <dxf>
      <fill>
        <patternFill patternType="none">
          <bgColor auto="1"/>
        </patternFill>
      </fill>
    </dxf>
    <dxf>
      <fill>
        <patternFill patternType="lightGray">
          <bgColor auto="1"/>
        </patternFill>
      </fill>
    </dxf>
    <dxf>
      <fill>
        <patternFill>
          <bgColor rgb="FFA7FFEE"/>
        </patternFill>
      </fill>
    </dxf>
    <dxf>
      <fill>
        <patternFill patternType="none">
          <bgColor auto="1"/>
        </patternFill>
      </fill>
    </dxf>
    <dxf>
      <fill>
        <patternFill patternType="none">
          <bgColor auto="1"/>
        </patternFill>
      </fill>
    </dxf>
    <dxf>
      <font>
        <b val="0"/>
        <i val="0"/>
        <strike val="0"/>
      </font>
      <numFmt numFmtId="0" formatCode="General"/>
      <fill>
        <patternFill patternType="none">
          <bgColor auto="1"/>
        </patternFill>
      </fill>
    </dxf>
    <dxf>
      <fill>
        <patternFill>
          <bgColor rgb="FF9FFFED"/>
        </patternFill>
      </fill>
    </dxf>
    <dxf>
      <fill>
        <patternFill patternType="none">
          <bgColor auto="1"/>
        </patternFill>
      </fill>
    </dxf>
    <dxf>
      <fill>
        <patternFill patternType="lightGray">
          <bgColor auto="1"/>
        </patternFill>
      </fill>
    </dxf>
    <dxf>
      <fill>
        <patternFill>
          <bgColor rgb="FFB7FFF1"/>
        </patternFill>
      </fill>
    </dxf>
    <dxf>
      <fill>
        <patternFill patternType="lightGray">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ill>
        <patternFill>
          <bgColor rgb="FFABFFEF"/>
        </patternFill>
      </fill>
    </dxf>
    <dxf>
      <fill>
        <patternFill patternType="none">
          <bgColor auto="1"/>
        </patternFill>
      </fill>
    </dxf>
    <dxf>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ont>
        <color theme="0"/>
      </font>
      <fill>
        <patternFill patternType="none">
          <bgColor auto="1"/>
        </patternFill>
      </fill>
    </dxf>
    <dxf>
      <fill>
        <patternFill>
          <bgColor rgb="FFAFFFF0"/>
        </patternFill>
      </fill>
    </dxf>
    <dxf>
      <fill>
        <patternFill patternType="none">
          <bgColor auto="1"/>
        </patternFill>
      </fill>
    </dxf>
    <dxf>
      <fill>
        <patternFill patternType="lightGray">
          <bgColor auto="1"/>
        </patternFill>
      </fill>
    </dxf>
    <dxf>
      <fill>
        <patternFill>
          <bgColor rgb="FFAFFFF0"/>
        </patternFill>
      </fill>
    </dxf>
    <dxf>
      <fill>
        <patternFill patternType="none">
          <bgColor auto="1"/>
        </patternFill>
      </fill>
    </dxf>
    <dxf>
      <fill>
        <patternFill>
          <bgColor rgb="FFB7FFF1"/>
        </patternFill>
      </fill>
    </dxf>
    <dxf>
      <fill>
        <patternFill>
          <bgColor rgb="FFBDFFF2"/>
        </patternFill>
      </fill>
    </dxf>
    <dxf>
      <fill>
        <patternFill patternType="none">
          <bgColor auto="1"/>
        </patternFill>
      </fill>
    </dxf>
    <dxf>
      <fill>
        <patternFill>
          <bgColor rgb="FFB3FFF1"/>
        </patternFill>
      </fill>
    </dxf>
    <dxf>
      <fill>
        <patternFill patternType="lightGray">
          <bgColor auto="1"/>
        </patternFill>
      </fill>
    </dxf>
    <dxf>
      <fill>
        <patternFill>
          <bgColor rgb="FFB7FFF1"/>
        </patternFill>
      </fill>
    </dxf>
    <dxf>
      <fill>
        <patternFill patternType="none">
          <bgColor auto="1"/>
        </patternFill>
      </fill>
    </dxf>
    <dxf>
      <fill>
        <patternFill>
          <bgColor rgb="FF9BFFEC"/>
        </patternFill>
      </fill>
    </dxf>
    <dxf>
      <fill>
        <patternFill>
          <bgColor rgb="FFA7FFEE"/>
        </patternFill>
      </fill>
    </dxf>
    <dxf>
      <fill>
        <patternFill>
          <bgColor rgb="FF8FFFEA"/>
        </patternFill>
      </fill>
    </dxf>
    <dxf>
      <fill>
        <patternFill patternType="none">
          <bgColor auto="1"/>
        </patternFill>
      </fill>
    </dxf>
    <dxf>
      <fill>
        <patternFill patternType="none">
          <bgColor auto="1"/>
        </patternFill>
      </fill>
    </dxf>
    <dxf>
      <fill>
        <patternFill patternType="none">
          <bgColor auto="1"/>
        </patternFill>
      </fill>
    </dxf>
    <dxf>
      <fill>
        <patternFill>
          <bgColor rgb="FFB7FFF1"/>
        </patternFill>
      </fill>
    </dxf>
    <dxf>
      <fill>
        <patternFill patternType="lightGray">
          <bgColor auto="1"/>
        </patternFill>
      </fill>
    </dxf>
    <dxf>
      <fill>
        <patternFill>
          <bgColor rgb="FFB9FFF2"/>
        </patternFill>
      </fill>
    </dxf>
    <dxf>
      <fill>
        <patternFill patternType="none">
          <bgColor auto="1"/>
        </patternFill>
      </fill>
    </dxf>
    <dxf>
      <fill>
        <patternFill>
          <bgColor rgb="FFA3FFED"/>
        </patternFill>
      </fill>
    </dxf>
    <dxf>
      <fill>
        <patternFill patternType="none">
          <bgColor auto="1"/>
        </patternFill>
      </fill>
    </dxf>
    <dxf>
      <fill>
        <patternFill>
          <bgColor rgb="FFA7FFEE"/>
        </patternFill>
      </fill>
    </dxf>
    <dxf>
      <fill>
        <patternFill patternType="none">
          <bgColor auto="1"/>
        </patternFill>
      </fill>
    </dxf>
    <dxf>
      <fill>
        <patternFill>
          <bgColor rgb="FFA7FFEE"/>
        </patternFill>
      </fill>
    </dxf>
    <dxf>
      <fill>
        <patternFill patternType="none">
          <bgColor auto="1"/>
        </patternFill>
      </fill>
    </dxf>
    <dxf>
      <font>
        <color theme="0"/>
      </font>
      <fill>
        <patternFill patternType="none">
          <bgColor auto="1"/>
        </patternFill>
      </fill>
    </dxf>
    <dxf>
      <fill>
        <patternFill>
          <bgColor rgb="FF9BFFEC"/>
        </patternFill>
      </fill>
    </dxf>
    <dxf>
      <fill>
        <patternFill>
          <bgColor rgb="FFA7FFEE"/>
        </patternFill>
      </fill>
    </dxf>
    <dxf>
      <font>
        <strike val="0"/>
      </font>
    </dxf>
    <dxf>
      <font>
        <b val="0"/>
        <i val="0"/>
        <strike val="0"/>
        <color auto="1"/>
      </font>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ont>
        <b val="0"/>
        <i val="0"/>
        <strike val="0"/>
      </font>
      <numFmt numFmtId="0" formatCode="General"/>
      <fill>
        <patternFill patternType="none">
          <bgColor auto="1"/>
        </patternFill>
      </fill>
    </dxf>
    <dxf>
      <fill>
        <patternFill patternType="lightGray"/>
      </fill>
    </dxf>
    <dxf>
      <fill>
        <patternFill>
          <bgColor rgb="FFA3FFEC"/>
        </patternFill>
      </fill>
    </dxf>
    <dxf>
      <fill>
        <patternFill patternType="none">
          <bgColor auto="1"/>
        </patternFill>
      </fill>
    </dxf>
    <dxf>
      <font>
        <color auto="1"/>
      </font>
      <fill>
        <patternFill>
          <fgColor auto="1"/>
          <bgColor rgb="FFA7FFEE"/>
        </patternFill>
      </fill>
    </dxf>
    <dxf>
      <fill>
        <patternFill patternType="none">
          <bgColor auto="1"/>
        </patternFill>
      </fill>
    </dxf>
    <dxf>
      <fill>
        <patternFill patternType="solid">
          <bgColor rgb="FFABFFEF"/>
        </patternFill>
      </fill>
    </dxf>
    <dxf>
      <fill>
        <patternFill patternType="none">
          <bgColor auto="1"/>
        </patternFill>
      </fill>
    </dxf>
    <dxf>
      <fill>
        <patternFill patternType="none">
          <bgColor auto="1"/>
        </patternFill>
      </fill>
    </dxf>
    <dxf>
      <font>
        <color theme="0"/>
      </font>
      <fill>
        <patternFill patternType="none">
          <bgColor auto="1"/>
        </patternFill>
      </fill>
    </dxf>
    <dxf>
      <fill>
        <patternFill patternType="none">
          <bgColor auto="1"/>
        </patternFill>
      </fill>
    </dxf>
    <dxf>
      <fill>
        <patternFill>
          <bgColor rgb="FFAFFFF0"/>
        </patternFill>
      </fill>
    </dxf>
    <dxf>
      <fill>
        <patternFill patternType="none">
          <bgColor auto="1"/>
        </patternFill>
      </fill>
    </dxf>
    <dxf>
      <fill>
        <patternFill patternType="none">
          <bgColor auto="1"/>
        </patternFill>
      </fill>
    </dxf>
    <dxf>
      <fill>
        <patternFill patternType="lightGray">
          <bgColor auto="1"/>
        </patternFill>
      </fill>
    </dxf>
    <dxf>
      <fill>
        <patternFill>
          <bgColor rgb="FFAFFFF0"/>
        </patternFill>
      </fill>
    </dxf>
    <dxf>
      <fill>
        <patternFill patternType="none">
          <bgColor auto="1"/>
        </patternFill>
      </fill>
    </dxf>
    <dxf>
      <fill>
        <patternFill>
          <bgColor rgb="FFB7FFF1"/>
        </patternFill>
      </fill>
    </dxf>
    <dxf>
      <fill>
        <patternFill>
          <bgColor rgb="FFBDFFF2"/>
        </patternFill>
      </fill>
    </dxf>
    <dxf>
      <fill>
        <patternFill patternType="none">
          <bgColor auto="1"/>
        </patternFill>
      </fill>
    </dxf>
    <dxf>
      <fill>
        <patternFill>
          <bgColor rgb="FFB3FFF1"/>
        </patternFill>
      </fill>
    </dxf>
    <dxf>
      <fill>
        <patternFill patternType="lightGray">
          <bgColor auto="1"/>
        </patternFill>
      </fill>
    </dxf>
    <dxf>
      <fill>
        <patternFill>
          <bgColor rgb="FFB7FFF1"/>
        </patternFill>
      </fill>
    </dxf>
    <dxf>
      <fill>
        <patternFill patternType="none">
          <bgColor auto="1"/>
        </patternFill>
      </fill>
    </dxf>
    <dxf>
      <fill>
        <patternFill>
          <bgColor rgb="FF9BFFEC"/>
        </patternFill>
      </fill>
    </dxf>
    <dxf>
      <fill>
        <patternFill>
          <bgColor rgb="FFA7FFEE"/>
        </patternFill>
      </fill>
    </dxf>
    <dxf>
      <fill>
        <patternFill patternType="none">
          <bgColor auto="1"/>
        </patternFill>
      </fill>
    </dxf>
    <dxf>
      <fill>
        <patternFill>
          <bgColor rgb="FF8FFFEA"/>
        </patternFill>
      </fill>
    </dxf>
    <dxf>
      <fill>
        <patternFill patternType="none">
          <bgColor auto="1"/>
        </patternFill>
      </fill>
    </dxf>
    <dxf>
      <fill>
        <patternFill patternType="none">
          <bgColor auto="1"/>
        </patternFill>
      </fill>
    </dxf>
    <dxf>
      <fill>
        <patternFill patternType="none">
          <bgColor auto="1"/>
        </patternFill>
      </fill>
    </dxf>
    <dxf>
      <fill>
        <patternFill>
          <bgColor rgb="FF9FFFED"/>
        </patternFill>
      </fill>
    </dxf>
    <dxf>
      <fill>
        <patternFill patternType="none">
          <bgColor auto="1"/>
        </patternFill>
      </fill>
    </dxf>
    <dxf>
      <fill>
        <patternFill>
          <bgColor rgb="FFB7FFF1"/>
        </patternFill>
      </fill>
    </dxf>
    <dxf>
      <fill>
        <patternFill patternType="lightGray">
          <bgColor auto="1"/>
        </patternFill>
      </fill>
    </dxf>
    <dxf>
      <fill>
        <patternFill>
          <bgColor rgb="FFB9FFF2"/>
        </patternFill>
      </fill>
    </dxf>
    <dxf>
      <fill>
        <patternFill patternType="none">
          <bgColor auto="1"/>
        </patternFill>
      </fill>
    </dxf>
    <dxf>
      <fill>
        <patternFill>
          <bgColor rgb="FFA3FFED"/>
        </patternFill>
      </fill>
    </dxf>
    <dxf>
      <fill>
        <patternFill patternType="none">
          <bgColor auto="1"/>
        </patternFill>
      </fill>
    </dxf>
    <dxf>
      <fill>
        <patternFill>
          <bgColor rgb="FFA7FFEE"/>
        </patternFill>
      </fill>
    </dxf>
    <dxf>
      <fill>
        <patternFill patternType="none">
          <bgColor auto="1"/>
        </patternFill>
      </fill>
    </dxf>
    <dxf>
      <fill>
        <patternFill>
          <bgColor rgb="FFA7FFEE"/>
        </patternFill>
      </fill>
    </dxf>
    <dxf>
      <fill>
        <patternFill patternType="none">
          <bgColor auto="1"/>
        </patternFill>
      </fill>
    </dxf>
    <dxf>
      <font>
        <color theme="0"/>
      </font>
      <fill>
        <patternFill patternType="none">
          <bgColor auto="1"/>
        </patternFill>
      </fill>
    </dxf>
    <dxf>
      <fill>
        <patternFill>
          <bgColor rgb="FF9BFFEC"/>
        </patternFill>
      </fill>
    </dxf>
    <dxf>
      <fill>
        <patternFill>
          <bgColor rgb="FFA7FFEE"/>
        </patternFill>
      </fill>
    </dxf>
    <dxf>
      <font>
        <strike val="0"/>
      </font>
    </dxf>
    <dxf>
      <fill>
        <patternFill>
          <bgColor rgb="FFABFFEF"/>
        </patternFill>
      </fill>
    </dxf>
    <dxf>
      <font>
        <b val="0"/>
        <i val="0"/>
        <strike val="0"/>
        <color auto="1"/>
      </font>
      <fill>
        <patternFill patternType="none">
          <bgColor auto="1"/>
        </patternFill>
      </fill>
    </dxf>
    <dxf>
      <font>
        <b val="0"/>
        <i val="0"/>
        <strike val="0"/>
      </font>
      <numFmt numFmtId="0" formatCode="General"/>
      <fill>
        <patternFill patternType="none">
          <bgColor auto="1"/>
        </patternFill>
      </fill>
    </dxf>
  </dxfs>
  <tableStyles count="0" defaultTableStyle="TableStyleMedium9" defaultPivotStyle="PivotStyleLight16"/>
  <colors>
    <mruColors>
      <color rgb="FFA7FFEE"/>
      <color rgb="FFA3FFEC"/>
      <color rgb="FFA3FFED"/>
      <color rgb="FF8BFFE9"/>
      <color rgb="FFB7FFF1"/>
      <color rgb="FFAFFFF0"/>
      <color rgb="FFBDFFF2"/>
      <color rgb="FFB3FFF1"/>
      <color rgb="FF9BFFEC"/>
      <color rgb="FF9FFF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checked="Checked" firstButton="1" fmlaLink="$AM$2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firstButton="1" fmlaLink="$AM$30"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firstButton="1" fmlaLink="$AM$13"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firstButton="1" fmlaLink="$AM$22"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AM$31" lockText="1" noThreeD="1"/>
</file>

<file path=xl/ctrlProps/ctrlProp14.xml><?xml version="1.0" encoding="utf-8"?>
<formControlPr xmlns="http://schemas.microsoft.com/office/spreadsheetml/2009/9/main" objectType="Radio" firstButton="1" fmlaLink="$AM$33"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CheckBox" fmlaLink="$AN$33" lockText="1" noThreeD="1"/>
</file>

<file path=xl/ctrlProps/ctrlProp19.xml><?xml version="1.0" encoding="utf-8"?>
<formControlPr xmlns="http://schemas.microsoft.com/office/spreadsheetml/2009/9/main" objectType="Radio" firstButton="1" fmlaLink="$AM$35"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firstButton="1" fmlaLink="$AM$27" lockText="1" noThreeD="1"/>
</file>

<file path=xl/ctrlProps/ctrlProp33.xml><?xml version="1.0" encoding="utf-8"?>
<formControlPr xmlns="http://schemas.microsoft.com/office/spreadsheetml/2009/9/main" objectType="Radio" checked="Checked"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AM$28"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fmlaLink="$AM$6"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checked="Checked" firstButton="1" fmlaLink="$AM$20"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firstButton="1" fmlaLink="$AM$29" lockText="1" noThreeD="1"/>
</file>

<file path=xl/ctrlProps/ctrlProp57.xml><?xml version="1.0" encoding="utf-8"?>
<formControlPr xmlns="http://schemas.microsoft.com/office/spreadsheetml/2009/9/main" objectType="Radio" checked="Checked"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checked="Checked" firstButton="1" fmlaLink="$AM$12"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firstButton="1" fmlaLink="$AM$21"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firstButton="1" fmlaLink="$AM$30" lockText="1"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checked="Checked" lockText="1" noThreeD="1"/>
</file>

<file path=xl/ctrlProps/ctrlProp70.xml><?xml version="1.0" encoding="utf-8"?>
<formControlPr xmlns="http://schemas.microsoft.com/office/spreadsheetml/2009/9/main" objectType="Radio" firstButton="1" fmlaLink="$AM$32"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Radio" checked="Checked" lockText="1"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CheckBox" fmlaLink="$AN$32" lockText="1" noThreeD="1"/>
</file>

<file path=xl/ctrlProps/ctrlProp75.xml><?xml version="1.0" encoding="utf-8"?>
<formControlPr xmlns="http://schemas.microsoft.com/office/spreadsheetml/2009/9/main" objectType="Radio" firstButton="1" fmlaLink="$AM$34" lockText="1" noThreeD="1"/>
</file>

<file path=xl/ctrlProps/ctrlProp76.xml><?xml version="1.0" encoding="utf-8"?>
<formControlPr xmlns="http://schemas.microsoft.com/office/spreadsheetml/2009/9/main" objectType="Radio" checked="Checked" lockText="1"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checked="Checked"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firstButton="1" fmlaLink="$AM$26" lockText="1" noThreeD="1"/>
</file>

<file path=xl/ctrlProps/ctrlProp94.xml><?xml version="1.0" encoding="utf-8"?>
<formControlPr xmlns="http://schemas.microsoft.com/office/spreadsheetml/2009/9/main" objectType="Radio" checked="Checked"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Radio" firstButton="1" fmlaLink="$AM$27" lockText="1" noThreeD="1"/>
</file>

<file path=xl/ctrlProps/ctrlProp99.xml><?xml version="1.0" encoding="utf-8"?>
<formControlPr xmlns="http://schemas.microsoft.com/office/spreadsheetml/2009/9/main" objectType="Radio" checked="Checked" lockText="1"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Radio" firstButton="1" fmlaLink="$AM$5"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checked="Checked" lockText="1"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Radio" checked="Checked" firstButton="1" fmlaLink="$AM$20"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checked="Checked" firstButton="1" fmlaLink="$AM$29"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checked="Checked" firstButton="1" fmlaLink="$AM$12"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Radio" firstButton="1" fmlaLink="$AM$21"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Radio" firstButton="1" fmlaLink="$AM$30"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lockText="1" noThreeD="1"/>
</file>

<file path=xl/ctrlProps/ctrlProp122.xml><?xml version="1.0" encoding="utf-8"?>
<formControlPr xmlns="http://schemas.microsoft.com/office/spreadsheetml/2009/9/main" objectType="Radio" checked="Checked" firstButton="1" fmlaLink="$AM$32"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CheckBox" fmlaLink="$AN$32" lockText="1" noThreeD="1"/>
</file>

<file path=xl/ctrlProps/ctrlProp127.xml><?xml version="1.0" encoding="utf-8"?>
<formControlPr xmlns="http://schemas.microsoft.com/office/spreadsheetml/2009/9/main" objectType="Radio" firstButton="1" fmlaLink="$AM$34" lockText="1" noThreeD="1"/>
</file>

<file path=xl/ctrlProps/ctrlProp128.xml><?xml version="1.0" encoding="utf-8"?>
<formControlPr xmlns="http://schemas.microsoft.com/office/spreadsheetml/2009/9/main" objectType="Radio" checked="Checked" lockText="1"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Radio"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Radio" lockText="1" noThreeD="1"/>
</file>

<file path=xl/ctrlProps/ctrlProp139.xml><?xml version="1.0" encoding="utf-8"?>
<formControlPr xmlns="http://schemas.microsoft.com/office/spreadsheetml/2009/9/main" objectType="Radio"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Radio" checked="Checked"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Radio" firstButton="1" fmlaLink="$AM$26" lockText="1" noThreeD="1"/>
</file>

<file path=xl/ctrlProps/ctrlProp146.xml><?xml version="1.0" encoding="utf-8"?>
<formControlPr xmlns="http://schemas.microsoft.com/office/spreadsheetml/2009/9/main" objectType="Radio" checked="Checked"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Radio" lockText="1"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Radio" firstButton="1" fmlaLink="$AM$27" lockText="1" noThreeD="1"/>
</file>

<file path=xl/ctrlProps/ctrlProp151.xml><?xml version="1.0" encoding="utf-8"?>
<formControlPr xmlns="http://schemas.microsoft.com/office/spreadsheetml/2009/9/main" objectType="Radio" checked="Checked" lockText="1"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Radio" firstButton="1" fmlaLink="$AM$5"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checked="Checked" lockText="1" noThreeD="1"/>
</file>

<file path=xl/ctrlProps/ctrlProp156.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20</xdr:row>
          <xdr:rowOff>38100</xdr:rowOff>
        </xdr:from>
        <xdr:to>
          <xdr:col>10</xdr:col>
          <xdr:colOff>0</xdr:colOff>
          <xdr:row>20</xdr:row>
          <xdr:rowOff>276225</xdr:rowOff>
        </xdr:to>
        <xdr:sp macro="" textlink="">
          <xdr:nvSpPr>
            <xdr:cNvPr id="8221" name="Option Button 29" hidden="1">
              <a:extLst>
                <a:ext uri="{63B3BB69-23CF-44E3-9099-C40C66FF867C}">
                  <a14:compatExt spid="_x0000_s8221"/>
                </a:ext>
                <a:ext uri="{FF2B5EF4-FFF2-40B4-BE49-F238E27FC236}">
                  <a16:creationId xmlns:a16="http://schemas.microsoft.com/office/drawing/2014/main" id="{00000000-0008-0000-00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20</xdr:row>
          <xdr:rowOff>38100</xdr:rowOff>
        </xdr:from>
        <xdr:to>
          <xdr:col>17</xdr:col>
          <xdr:colOff>0</xdr:colOff>
          <xdr:row>20</xdr:row>
          <xdr:rowOff>276225</xdr:rowOff>
        </xdr:to>
        <xdr:sp macro="" textlink="">
          <xdr:nvSpPr>
            <xdr:cNvPr id="8222" name="Option Button 30"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20</xdr:row>
          <xdr:rowOff>38100</xdr:rowOff>
        </xdr:from>
        <xdr:to>
          <xdr:col>24</xdr:col>
          <xdr:colOff>0</xdr:colOff>
          <xdr:row>20</xdr:row>
          <xdr:rowOff>276225</xdr:rowOff>
        </xdr:to>
        <xdr:sp macro="" textlink="">
          <xdr:nvSpPr>
            <xdr:cNvPr id="8223" name="Option Button 31" hidden="1">
              <a:extLst>
                <a:ext uri="{63B3BB69-23CF-44E3-9099-C40C66FF867C}">
                  <a14:compatExt spid="_x0000_s8223"/>
                </a:ext>
                <a:ext uri="{FF2B5EF4-FFF2-40B4-BE49-F238E27FC236}">
                  <a16:creationId xmlns:a16="http://schemas.microsoft.com/office/drawing/2014/main" id="{00000000-0008-0000-00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19050</xdr:rowOff>
        </xdr:from>
        <xdr:to>
          <xdr:col>10</xdr:col>
          <xdr:colOff>0</xdr:colOff>
          <xdr:row>29</xdr:row>
          <xdr:rowOff>257175</xdr:rowOff>
        </xdr:to>
        <xdr:sp macro="" textlink="">
          <xdr:nvSpPr>
            <xdr:cNvPr id="8248" name="Option Button 56" hidden="1">
              <a:extLst>
                <a:ext uri="{63B3BB69-23CF-44E3-9099-C40C66FF867C}">
                  <a14:compatExt spid="_x0000_s8248"/>
                </a:ext>
                <a:ext uri="{FF2B5EF4-FFF2-40B4-BE49-F238E27FC236}">
                  <a16:creationId xmlns:a16="http://schemas.microsoft.com/office/drawing/2014/main" id="{00000000-0008-0000-00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19050</xdr:rowOff>
        </xdr:from>
        <xdr:to>
          <xdr:col>17</xdr:col>
          <xdr:colOff>0</xdr:colOff>
          <xdr:row>29</xdr:row>
          <xdr:rowOff>257175</xdr:rowOff>
        </xdr:to>
        <xdr:sp macro="" textlink="">
          <xdr:nvSpPr>
            <xdr:cNvPr id="8249" name="Option Button 57" hidden="1">
              <a:extLst>
                <a:ext uri="{63B3BB69-23CF-44E3-9099-C40C66FF867C}">
                  <a14:compatExt spid="_x0000_s8249"/>
                </a:ext>
                <a:ext uri="{FF2B5EF4-FFF2-40B4-BE49-F238E27FC236}">
                  <a16:creationId xmlns:a16="http://schemas.microsoft.com/office/drawing/2014/main" id="{00000000-0008-0000-00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29</xdr:row>
          <xdr:rowOff>19050</xdr:rowOff>
        </xdr:from>
        <xdr:to>
          <xdr:col>24</xdr:col>
          <xdr:colOff>0</xdr:colOff>
          <xdr:row>29</xdr:row>
          <xdr:rowOff>257175</xdr:rowOff>
        </xdr:to>
        <xdr:sp macro="" textlink="">
          <xdr:nvSpPr>
            <xdr:cNvPr id="8250" name="Option Button 58" hidden="1">
              <a:extLst>
                <a:ext uri="{63B3BB69-23CF-44E3-9099-C40C66FF867C}">
                  <a14:compatExt spid="_x0000_s8250"/>
                </a:ext>
                <a:ext uri="{FF2B5EF4-FFF2-40B4-BE49-F238E27FC236}">
                  <a16:creationId xmlns:a16="http://schemas.microsoft.com/office/drawing/2014/main" id="{00000000-0008-0000-00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12</xdr:row>
          <xdr:rowOff>19050</xdr:rowOff>
        </xdr:from>
        <xdr:to>
          <xdr:col>7</xdr:col>
          <xdr:colOff>95250</xdr:colOff>
          <xdr:row>13</xdr:row>
          <xdr:rowOff>9525</xdr:rowOff>
        </xdr:to>
        <xdr:sp macro="" textlink="">
          <xdr:nvSpPr>
            <xdr:cNvPr id="8267" name="Option Button 75" hidden="1">
              <a:extLst>
                <a:ext uri="{63B3BB69-23CF-44E3-9099-C40C66FF867C}">
                  <a14:compatExt spid="_x0000_s8267"/>
                </a:ext>
                <a:ext uri="{FF2B5EF4-FFF2-40B4-BE49-F238E27FC236}">
                  <a16:creationId xmlns:a16="http://schemas.microsoft.com/office/drawing/2014/main" id="{00000000-0008-0000-0000-00004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xdr:row>
          <xdr:rowOff>19050</xdr:rowOff>
        </xdr:from>
        <xdr:to>
          <xdr:col>13</xdr:col>
          <xdr:colOff>104775</xdr:colOff>
          <xdr:row>13</xdr:row>
          <xdr:rowOff>9525</xdr:rowOff>
        </xdr:to>
        <xdr:sp macro="" textlink="">
          <xdr:nvSpPr>
            <xdr:cNvPr id="8272" name="Option Button 80" hidden="1">
              <a:extLst>
                <a:ext uri="{63B3BB69-23CF-44E3-9099-C40C66FF867C}">
                  <a14:compatExt spid="_x0000_s8272"/>
                </a:ext>
                <a:ext uri="{FF2B5EF4-FFF2-40B4-BE49-F238E27FC236}">
                  <a16:creationId xmlns:a16="http://schemas.microsoft.com/office/drawing/2014/main" id="{00000000-0008-0000-0000-00005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12</xdr:row>
          <xdr:rowOff>9525</xdr:rowOff>
        </xdr:from>
        <xdr:to>
          <xdr:col>16</xdr:col>
          <xdr:colOff>9525</xdr:colOff>
          <xdr:row>13</xdr:row>
          <xdr:rowOff>38100</xdr:rowOff>
        </xdr:to>
        <xdr:sp macro="" textlink="">
          <xdr:nvSpPr>
            <xdr:cNvPr id="8274" name="Group Box 82" hidden="1">
              <a:extLst>
                <a:ext uri="{63B3BB69-23CF-44E3-9099-C40C66FF867C}">
                  <a14:compatExt spid="_x0000_s8274"/>
                </a:ext>
                <a:ext uri="{FF2B5EF4-FFF2-40B4-BE49-F238E27FC236}">
                  <a16:creationId xmlns:a16="http://schemas.microsoft.com/office/drawing/2014/main" id="{00000000-0008-0000-0000-00005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20</xdr:row>
          <xdr:rowOff>19050</xdr:rowOff>
        </xdr:from>
        <xdr:to>
          <xdr:col>24</xdr:col>
          <xdr:colOff>133350</xdr:colOff>
          <xdr:row>20</xdr:row>
          <xdr:rowOff>304800</xdr:rowOff>
        </xdr:to>
        <xdr:sp macro="" textlink="">
          <xdr:nvSpPr>
            <xdr:cNvPr id="8275" name="Group Box 83" hidden="1">
              <a:extLst>
                <a:ext uri="{63B3BB69-23CF-44E3-9099-C40C66FF867C}">
                  <a14:compatExt spid="_x0000_s8275"/>
                </a:ext>
                <a:ext uri="{FF2B5EF4-FFF2-40B4-BE49-F238E27FC236}">
                  <a16:creationId xmlns:a16="http://schemas.microsoft.com/office/drawing/2014/main" id="{00000000-0008-0000-0000-00005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20</xdr:row>
          <xdr:rowOff>285750</xdr:rowOff>
        </xdr:from>
        <xdr:to>
          <xdr:col>40</xdr:col>
          <xdr:colOff>85725</xdr:colOff>
          <xdr:row>25</xdr:row>
          <xdr:rowOff>152400</xdr:rowOff>
        </xdr:to>
        <xdr:sp macro="" textlink="">
          <xdr:nvSpPr>
            <xdr:cNvPr id="8276" name="Group Box 84" hidden="1">
              <a:extLst>
                <a:ext uri="{63B3BB69-23CF-44E3-9099-C40C66FF867C}">
                  <a14:compatExt spid="_x0000_s8276"/>
                </a:ext>
                <a:ext uri="{FF2B5EF4-FFF2-40B4-BE49-F238E27FC236}">
                  <a16:creationId xmlns:a16="http://schemas.microsoft.com/office/drawing/2014/main" id="{00000000-0008-0000-0000-00005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19050</xdr:rowOff>
        </xdr:from>
        <xdr:to>
          <xdr:col>8</xdr:col>
          <xdr:colOff>114300</xdr:colOff>
          <xdr:row>22</xdr:row>
          <xdr:rowOff>28575</xdr:rowOff>
        </xdr:to>
        <xdr:sp macro="" textlink="">
          <xdr:nvSpPr>
            <xdr:cNvPr id="8278" name="Option Button 86" hidden="1">
              <a:extLst>
                <a:ext uri="{63B3BB69-23CF-44E3-9099-C40C66FF867C}">
                  <a14:compatExt spid="_x0000_s8278"/>
                </a:ext>
                <a:ext uri="{FF2B5EF4-FFF2-40B4-BE49-F238E27FC236}">
                  <a16:creationId xmlns:a16="http://schemas.microsoft.com/office/drawing/2014/main" id="{00000000-0008-0000-0000-00005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21</xdr:row>
          <xdr:rowOff>19050</xdr:rowOff>
        </xdr:from>
        <xdr:to>
          <xdr:col>12</xdr:col>
          <xdr:colOff>114300</xdr:colOff>
          <xdr:row>22</xdr:row>
          <xdr:rowOff>28575</xdr:rowOff>
        </xdr:to>
        <xdr:sp macro="" textlink="">
          <xdr:nvSpPr>
            <xdr:cNvPr id="8279" name="Option Button 87" hidden="1">
              <a:extLst>
                <a:ext uri="{63B3BB69-23CF-44E3-9099-C40C66FF867C}">
                  <a14:compatExt spid="_x0000_s8279"/>
                </a:ext>
                <a:ext uri="{FF2B5EF4-FFF2-40B4-BE49-F238E27FC236}">
                  <a16:creationId xmlns:a16="http://schemas.microsoft.com/office/drawing/2014/main" id="{00000000-0008-0000-0000-00005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28</xdr:row>
          <xdr:rowOff>190500</xdr:rowOff>
        </xdr:from>
        <xdr:to>
          <xdr:col>25</xdr:col>
          <xdr:colOff>190500</xdr:colOff>
          <xdr:row>30</xdr:row>
          <xdr:rowOff>19050</xdr:rowOff>
        </xdr:to>
        <xdr:sp macro="" textlink="">
          <xdr:nvSpPr>
            <xdr:cNvPr id="8299" name="Group Box 107"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31</xdr:row>
          <xdr:rowOff>0</xdr:rowOff>
        </xdr:from>
        <xdr:to>
          <xdr:col>8</xdr:col>
          <xdr:colOff>114300</xdr:colOff>
          <xdr:row>32</xdr:row>
          <xdr:rowOff>9525</xdr:rowOff>
        </xdr:to>
        <xdr:sp macro="" textlink="">
          <xdr:nvSpPr>
            <xdr:cNvPr id="8300" name="Option Button 108" hidden="1">
              <a:extLst>
                <a:ext uri="{63B3BB69-23CF-44E3-9099-C40C66FF867C}">
                  <a14:compatExt spid="_x0000_s8300"/>
                </a:ext>
                <a:ext uri="{FF2B5EF4-FFF2-40B4-BE49-F238E27FC236}">
                  <a16:creationId xmlns:a16="http://schemas.microsoft.com/office/drawing/2014/main" id="{00000000-0008-0000-0000-00006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30</xdr:row>
          <xdr:rowOff>0</xdr:rowOff>
        </xdr:from>
        <xdr:to>
          <xdr:col>9</xdr:col>
          <xdr:colOff>114300</xdr:colOff>
          <xdr:row>32</xdr:row>
          <xdr:rowOff>19050</xdr:rowOff>
        </xdr:to>
        <xdr:sp macro="" textlink="">
          <xdr:nvSpPr>
            <xdr:cNvPr id="8304" name="Group Box 112" hidden="1">
              <a:extLst>
                <a:ext uri="{63B3BB69-23CF-44E3-9099-C40C66FF867C}">
                  <a14:compatExt spid="_x0000_s8304"/>
                </a:ext>
                <a:ext uri="{FF2B5EF4-FFF2-40B4-BE49-F238E27FC236}">
                  <a16:creationId xmlns:a16="http://schemas.microsoft.com/office/drawing/2014/main" id="{00000000-0008-0000-0000-00007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30</xdr:row>
          <xdr:rowOff>9525</xdr:rowOff>
        </xdr:from>
        <xdr:to>
          <xdr:col>8</xdr:col>
          <xdr:colOff>114300</xdr:colOff>
          <xdr:row>31</xdr:row>
          <xdr:rowOff>19050</xdr:rowOff>
        </xdr:to>
        <xdr:sp macro="" textlink="">
          <xdr:nvSpPr>
            <xdr:cNvPr id="8305" name="Option Button 113" hidden="1">
              <a:extLst>
                <a:ext uri="{63B3BB69-23CF-44E3-9099-C40C66FF867C}">
                  <a14:compatExt spid="_x0000_s8305"/>
                </a:ext>
                <a:ext uri="{FF2B5EF4-FFF2-40B4-BE49-F238E27FC236}">
                  <a16:creationId xmlns:a16="http://schemas.microsoft.com/office/drawing/2014/main" id="{00000000-0008-0000-0000-00007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32</xdr:row>
          <xdr:rowOff>19050</xdr:rowOff>
        </xdr:from>
        <xdr:to>
          <xdr:col>7</xdr:col>
          <xdr:colOff>104775</xdr:colOff>
          <xdr:row>32</xdr:row>
          <xdr:rowOff>266700</xdr:rowOff>
        </xdr:to>
        <xdr:sp macro="" textlink="">
          <xdr:nvSpPr>
            <xdr:cNvPr id="8307" name="Option Button 115" hidden="1">
              <a:extLst>
                <a:ext uri="{63B3BB69-23CF-44E3-9099-C40C66FF867C}">
                  <a14:compatExt spid="_x0000_s8307"/>
                </a:ext>
                <a:ext uri="{FF2B5EF4-FFF2-40B4-BE49-F238E27FC236}">
                  <a16:creationId xmlns:a16="http://schemas.microsoft.com/office/drawing/2014/main" id="{00000000-0008-0000-0000-00007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32</xdr:row>
          <xdr:rowOff>19050</xdr:rowOff>
        </xdr:from>
        <xdr:to>
          <xdr:col>17</xdr:col>
          <xdr:colOff>104775</xdr:colOff>
          <xdr:row>32</xdr:row>
          <xdr:rowOff>266700</xdr:rowOff>
        </xdr:to>
        <xdr:sp macro="" textlink="">
          <xdr:nvSpPr>
            <xdr:cNvPr id="8308" name="Option Button 116" hidden="1">
              <a:extLst>
                <a:ext uri="{63B3BB69-23CF-44E3-9099-C40C66FF867C}">
                  <a14:compatExt spid="_x0000_s8308"/>
                </a:ext>
                <a:ext uri="{FF2B5EF4-FFF2-40B4-BE49-F238E27FC236}">
                  <a16:creationId xmlns:a16="http://schemas.microsoft.com/office/drawing/2014/main" id="{00000000-0008-0000-0000-00007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xdr:row>
          <xdr:rowOff>19050</xdr:rowOff>
        </xdr:from>
        <xdr:to>
          <xdr:col>23</xdr:col>
          <xdr:colOff>104775</xdr:colOff>
          <xdr:row>32</xdr:row>
          <xdr:rowOff>266700</xdr:rowOff>
        </xdr:to>
        <xdr:sp macro="" textlink="">
          <xdr:nvSpPr>
            <xdr:cNvPr id="8309" name="Option Button 117" hidden="1">
              <a:extLst>
                <a:ext uri="{63B3BB69-23CF-44E3-9099-C40C66FF867C}">
                  <a14:compatExt spid="_x0000_s8309"/>
                </a:ext>
                <a:ext uri="{FF2B5EF4-FFF2-40B4-BE49-F238E27FC236}">
                  <a16:creationId xmlns:a16="http://schemas.microsoft.com/office/drawing/2014/main" id="{00000000-0008-0000-0000-00007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32</xdr:row>
          <xdr:rowOff>9525</xdr:rowOff>
        </xdr:from>
        <xdr:to>
          <xdr:col>28</xdr:col>
          <xdr:colOff>142875</xdr:colOff>
          <xdr:row>32</xdr:row>
          <xdr:rowOff>295275</xdr:rowOff>
        </xdr:to>
        <xdr:sp macro="" textlink="">
          <xdr:nvSpPr>
            <xdr:cNvPr id="8310" name="Group Box 118" hidden="1">
              <a:extLst>
                <a:ext uri="{63B3BB69-23CF-44E3-9099-C40C66FF867C}">
                  <a14:compatExt spid="_x0000_s8310"/>
                </a:ext>
                <a:ext uri="{FF2B5EF4-FFF2-40B4-BE49-F238E27FC236}">
                  <a16:creationId xmlns:a16="http://schemas.microsoft.com/office/drawing/2014/main" id="{00000000-0008-0000-0000-00007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32</xdr:row>
          <xdr:rowOff>28575</xdr:rowOff>
        </xdr:from>
        <xdr:to>
          <xdr:col>11</xdr:col>
          <xdr:colOff>95250</xdr:colOff>
          <xdr:row>32</xdr:row>
          <xdr:rowOff>276225</xdr:rowOff>
        </xdr:to>
        <xdr:sp macro="" textlink="">
          <xdr:nvSpPr>
            <xdr:cNvPr id="8311" name="Check Box 119" hidden="1">
              <a:extLst>
                <a:ext uri="{63B3BB69-23CF-44E3-9099-C40C66FF867C}">
                  <a14:compatExt spid="_x0000_s8311"/>
                </a:ext>
                <a:ext uri="{FF2B5EF4-FFF2-40B4-BE49-F238E27FC236}">
                  <a16:creationId xmlns:a16="http://schemas.microsoft.com/office/drawing/2014/main" id="{00000000-0008-0000-0000-00007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34</xdr:row>
          <xdr:rowOff>28575</xdr:rowOff>
        </xdr:from>
        <xdr:to>
          <xdr:col>7</xdr:col>
          <xdr:colOff>38100</xdr:colOff>
          <xdr:row>34</xdr:row>
          <xdr:rowOff>276225</xdr:rowOff>
        </xdr:to>
        <xdr:sp macro="" textlink="">
          <xdr:nvSpPr>
            <xdr:cNvPr id="8313" name="Option Button 121" hidden="1">
              <a:extLst>
                <a:ext uri="{63B3BB69-23CF-44E3-9099-C40C66FF867C}">
                  <a14:compatExt spid="_x0000_s8313"/>
                </a:ext>
                <a:ext uri="{FF2B5EF4-FFF2-40B4-BE49-F238E27FC236}">
                  <a16:creationId xmlns:a16="http://schemas.microsoft.com/office/drawing/2014/main" id="{00000000-0008-0000-0000-00007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34</xdr:row>
          <xdr:rowOff>28575</xdr:rowOff>
        </xdr:from>
        <xdr:to>
          <xdr:col>10</xdr:col>
          <xdr:colOff>38100</xdr:colOff>
          <xdr:row>34</xdr:row>
          <xdr:rowOff>276225</xdr:rowOff>
        </xdr:to>
        <xdr:sp macro="" textlink="">
          <xdr:nvSpPr>
            <xdr:cNvPr id="8315" name="Option Button 123" hidden="1">
              <a:extLst>
                <a:ext uri="{63B3BB69-23CF-44E3-9099-C40C66FF867C}">
                  <a14:compatExt spid="_x0000_s8315"/>
                </a:ext>
                <a:ext uri="{FF2B5EF4-FFF2-40B4-BE49-F238E27FC236}">
                  <a16:creationId xmlns:a16="http://schemas.microsoft.com/office/drawing/2014/main" id="{00000000-0008-0000-0000-00007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33</xdr:row>
          <xdr:rowOff>190500</xdr:rowOff>
        </xdr:from>
        <xdr:to>
          <xdr:col>12</xdr:col>
          <xdr:colOff>85725</xdr:colOff>
          <xdr:row>35</xdr:row>
          <xdr:rowOff>76200</xdr:rowOff>
        </xdr:to>
        <xdr:sp macro="" textlink="">
          <xdr:nvSpPr>
            <xdr:cNvPr id="8316" name="Group Box 124" hidden="1">
              <a:extLst>
                <a:ext uri="{63B3BB69-23CF-44E3-9099-C40C66FF867C}">
                  <a14:compatExt spid="_x0000_s8316"/>
                </a:ext>
                <a:ext uri="{FF2B5EF4-FFF2-40B4-BE49-F238E27FC236}">
                  <a16:creationId xmlns:a16="http://schemas.microsoft.com/office/drawing/2014/main" id="{00000000-0008-0000-0000-00007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22</xdr:row>
          <xdr:rowOff>228600</xdr:rowOff>
        </xdr:from>
        <xdr:to>
          <xdr:col>33</xdr:col>
          <xdr:colOff>123825</xdr:colOff>
          <xdr:row>24</xdr:row>
          <xdr:rowOff>9525</xdr:rowOff>
        </xdr:to>
        <xdr:sp macro="" textlink="">
          <xdr:nvSpPr>
            <xdr:cNvPr id="8321" name="Option Button 129" hidden="1">
              <a:extLst>
                <a:ext uri="{63B3BB69-23CF-44E3-9099-C40C66FF867C}">
                  <a14:compatExt spid="_x0000_s8321"/>
                </a:ext>
                <a:ext uri="{FF2B5EF4-FFF2-40B4-BE49-F238E27FC236}">
                  <a16:creationId xmlns:a16="http://schemas.microsoft.com/office/drawing/2014/main" id="{00000000-0008-0000-0000-00008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21</xdr:row>
          <xdr:rowOff>19050</xdr:rowOff>
        </xdr:from>
        <xdr:to>
          <xdr:col>18</xdr:col>
          <xdr:colOff>114300</xdr:colOff>
          <xdr:row>22</xdr:row>
          <xdr:rowOff>28575</xdr:rowOff>
        </xdr:to>
        <xdr:sp macro="" textlink="">
          <xdr:nvSpPr>
            <xdr:cNvPr id="8319" name="Option Button 127" hidden="1">
              <a:extLst>
                <a:ext uri="{63B3BB69-23CF-44E3-9099-C40C66FF867C}">
                  <a14:compatExt spid="_x0000_s8319"/>
                </a:ext>
                <a:ext uri="{FF2B5EF4-FFF2-40B4-BE49-F238E27FC236}">
                  <a16:creationId xmlns:a16="http://schemas.microsoft.com/office/drawing/2014/main" id="{00000000-0008-0000-0000-00007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21</xdr:row>
          <xdr:rowOff>19050</xdr:rowOff>
        </xdr:from>
        <xdr:to>
          <xdr:col>22</xdr:col>
          <xdr:colOff>114300</xdr:colOff>
          <xdr:row>22</xdr:row>
          <xdr:rowOff>28575</xdr:rowOff>
        </xdr:to>
        <xdr:sp macro="" textlink="">
          <xdr:nvSpPr>
            <xdr:cNvPr id="8320" name="Option Button 128" hidden="1">
              <a:extLst>
                <a:ext uri="{63B3BB69-23CF-44E3-9099-C40C66FF867C}">
                  <a14:compatExt spid="_x0000_s8320"/>
                </a:ext>
                <a:ext uri="{FF2B5EF4-FFF2-40B4-BE49-F238E27FC236}">
                  <a16:creationId xmlns:a16="http://schemas.microsoft.com/office/drawing/2014/main" id="{00000000-0008-0000-0000-00008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8</xdr:col>
          <xdr:colOff>104775</xdr:colOff>
          <xdr:row>25</xdr:row>
          <xdr:rowOff>9525</xdr:rowOff>
        </xdr:to>
        <xdr:sp macro="" textlink="">
          <xdr:nvSpPr>
            <xdr:cNvPr id="8322" name="Option Button 130" hidden="1">
              <a:extLst>
                <a:ext uri="{63B3BB69-23CF-44E3-9099-C40C66FF867C}">
                  <a14:compatExt spid="_x0000_s8322"/>
                </a:ext>
                <a:ext uri="{FF2B5EF4-FFF2-40B4-BE49-F238E27FC236}">
                  <a16:creationId xmlns:a16="http://schemas.microsoft.com/office/drawing/2014/main" id="{00000000-0008-0000-0000-00008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24</xdr:row>
          <xdr:rowOff>9525</xdr:rowOff>
        </xdr:from>
        <xdr:to>
          <xdr:col>13</xdr:col>
          <xdr:colOff>104775</xdr:colOff>
          <xdr:row>25</xdr:row>
          <xdr:rowOff>19050</xdr:rowOff>
        </xdr:to>
        <xdr:sp macro="" textlink="">
          <xdr:nvSpPr>
            <xdr:cNvPr id="8323" name="Option Button 131" hidden="1">
              <a:extLst>
                <a:ext uri="{63B3BB69-23CF-44E3-9099-C40C66FF867C}">
                  <a14:compatExt spid="_x0000_s8323"/>
                </a:ext>
                <a:ext uri="{FF2B5EF4-FFF2-40B4-BE49-F238E27FC236}">
                  <a16:creationId xmlns:a16="http://schemas.microsoft.com/office/drawing/2014/main" id="{00000000-0008-0000-0000-00008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24</xdr:row>
          <xdr:rowOff>9525</xdr:rowOff>
        </xdr:from>
        <xdr:to>
          <xdr:col>18</xdr:col>
          <xdr:colOff>114300</xdr:colOff>
          <xdr:row>25</xdr:row>
          <xdr:rowOff>19050</xdr:rowOff>
        </xdr:to>
        <xdr:sp macro="" textlink="">
          <xdr:nvSpPr>
            <xdr:cNvPr id="8324" name="Option Button 132" hidden="1">
              <a:extLst>
                <a:ext uri="{63B3BB69-23CF-44E3-9099-C40C66FF867C}">
                  <a14:compatExt spid="_x0000_s8324"/>
                </a:ext>
                <a:ext uri="{FF2B5EF4-FFF2-40B4-BE49-F238E27FC236}">
                  <a16:creationId xmlns:a16="http://schemas.microsoft.com/office/drawing/2014/main" id="{00000000-0008-0000-0000-00008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21</xdr:row>
          <xdr:rowOff>9525</xdr:rowOff>
        </xdr:from>
        <xdr:to>
          <xdr:col>26</xdr:col>
          <xdr:colOff>76200</xdr:colOff>
          <xdr:row>22</xdr:row>
          <xdr:rowOff>19050</xdr:rowOff>
        </xdr:to>
        <xdr:sp macro="" textlink="">
          <xdr:nvSpPr>
            <xdr:cNvPr id="8325" name="Option Button 133" hidden="1">
              <a:extLst>
                <a:ext uri="{63B3BB69-23CF-44E3-9099-C40C66FF867C}">
                  <a14:compatExt spid="_x0000_s8325"/>
                </a:ext>
                <a:ext uri="{FF2B5EF4-FFF2-40B4-BE49-F238E27FC236}">
                  <a16:creationId xmlns:a16="http://schemas.microsoft.com/office/drawing/2014/main" id="{00000000-0008-0000-0000-00008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190500</xdr:colOff>
          <xdr:row>21</xdr:row>
          <xdr:rowOff>9525</xdr:rowOff>
        </xdr:from>
        <xdr:to>
          <xdr:col>30</xdr:col>
          <xdr:colOff>104775</xdr:colOff>
          <xdr:row>22</xdr:row>
          <xdr:rowOff>19050</xdr:rowOff>
        </xdr:to>
        <xdr:sp macro="" textlink="">
          <xdr:nvSpPr>
            <xdr:cNvPr id="8326" name="Option Button 134" hidden="1">
              <a:extLst>
                <a:ext uri="{63B3BB69-23CF-44E3-9099-C40C66FF867C}">
                  <a14:compatExt spid="_x0000_s8326"/>
                </a:ext>
                <a:ext uri="{FF2B5EF4-FFF2-40B4-BE49-F238E27FC236}">
                  <a16:creationId xmlns:a16="http://schemas.microsoft.com/office/drawing/2014/main" id="{00000000-0008-0000-0000-00008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200025</xdr:colOff>
          <xdr:row>21</xdr:row>
          <xdr:rowOff>0</xdr:rowOff>
        </xdr:from>
        <xdr:to>
          <xdr:col>34</xdr:col>
          <xdr:colOff>95250</xdr:colOff>
          <xdr:row>22</xdr:row>
          <xdr:rowOff>9525</xdr:rowOff>
        </xdr:to>
        <xdr:sp macro="" textlink="">
          <xdr:nvSpPr>
            <xdr:cNvPr id="8327" name="Option Button 135" hidden="1">
              <a:extLst>
                <a:ext uri="{63B3BB69-23CF-44E3-9099-C40C66FF867C}">
                  <a14:compatExt spid="_x0000_s8327"/>
                </a:ext>
                <a:ext uri="{FF2B5EF4-FFF2-40B4-BE49-F238E27FC236}">
                  <a16:creationId xmlns:a16="http://schemas.microsoft.com/office/drawing/2014/main" id="{00000000-0008-0000-0000-00008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9525</xdr:rowOff>
        </xdr:from>
        <xdr:to>
          <xdr:col>8</xdr:col>
          <xdr:colOff>123825</xdr:colOff>
          <xdr:row>23</xdr:row>
          <xdr:rowOff>19050</xdr:rowOff>
        </xdr:to>
        <xdr:sp macro="" textlink="">
          <xdr:nvSpPr>
            <xdr:cNvPr id="8328" name="Option Button 136" hidden="1">
              <a:extLst>
                <a:ext uri="{63B3BB69-23CF-44E3-9099-C40C66FF867C}">
                  <a14:compatExt spid="_x0000_s8328"/>
                </a:ext>
                <a:ext uri="{FF2B5EF4-FFF2-40B4-BE49-F238E27FC236}">
                  <a16:creationId xmlns:a16="http://schemas.microsoft.com/office/drawing/2014/main" id="{00000000-0008-0000-0000-00008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22</xdr:row>
          <xdr:rowOff>9525</xdr:rowOff>
        </xdr:from>
        <xdr:to>
          <xdr:col>13</xdr:col>
          <xdr:colOff>95250</xdr:colOff>
          <xdr:row>23</xdr:row>
          <xdr:rowOff>19050</xdr:rowOff>
        </xdr:to>
        <xdr:sp macro="" textlink="">
          <xdr:nvSpPr>
            <xdr:cNvPr id="8329" name="Option Button 137" hidden="1">
              <a:extLst>
                <a:ext uri="{63B3BB69-23CF-44E3-9099-C40C66FF867C}">
                  <a14:compatExt spid="_x0000_s8329"/>
                </a:ext>
                <a:ext uri="{FF2B5EF4-FFF2-40B4-BE49-F238E27FC236}">
                  <a16:creationId xmlns:a16="http://schemas.microsoft.com/office/drawing/2014/main" id="{00000000-0008-0000-0000-00008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23</xdr:row>
          <xdr:rowOff>0</xdr:rowOff>
        </xdr:from>
        <xdr:to>
          <xdr:col>8</xdr:col>
          <xdr:colOff>123825</xdr:colOff>
          <xdr:row>24</xdr:row>
          <xdr:rowOff>9525</xdr:rowOff>
        </xdr:to>
        <xdr:sp macro="" textlink="">
          <xdr:nvSpPr>
            <xdr:cNvPr id="8330" name="Option Button 138" hidden="1">
              <a:extLst>
                <a:ext uri="{63B3BB69-23CF-44E3-9099-C40C66FF867C}">
                  <a14:compatExt spid="_x0000_s8330"/>
                </a:ext>
                <a:ext uri="{FF2B5EF4-FFF2-40B4-BE49-F238E27FC236}">
                  <a16:creationId xmlns:a16="http://schemas.microsoft.com/office/drawing/2014/main" id="{00000000-0008-0000-0000-00008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23</xdr:row>
          <xdr:rowOff>0</xdr:rowOff>
        </xdr:from>
        <xdr:to>
          <xdr:col>14</xdr:col>
          <xdr:colOff>142875</xdr:colOff>
          <xdr:row>24</xdr:row>
          <xdr:rowOff>9525</xdr:rowOff>
        </xdr:to>
        <xdr:sp macro="" textlink="">
          <xdr:nvSpPr>
            <xdr:cNvPr id="8331" name="Option Button 139" hidden="1">
              <a:extLst>
                <a:ext uri="{63B3BB69-23CF-44E3-9099-C40C66FF867C}">
                  <a14:compatExt spid="_x0000_s8331"/>
                </a:ext>
                <a:ext uri="{FF2B5EF4-FFF2-40B4-BE49-F238E27FC236}">
                  <a16:creationId xmlns:a16="http://schemas.microsoft.com/office/drawing/2014/main" id="{00000000-0008-0000-0000-00008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23</xdr:row>
          <xdr:rowOff>0</xdr:rowOff>
        </xdr:from>
        <xdr:to>
          <xdr:col>20</xdr:col>
          <xdr:colOff>95250</xdr:colOff>
          <xdr:row>24</xdr:row>
          <xdr:rowOff>9525</xdr:rowOff>
        </xdr:to>
        <xdr:sp macro="" textlink="">
          <xdr:nvSpPr>
            <xdr:cNvPr id="8332" name="Option Button 140" hidden="1">
              <a:extLst>
                <a:ext uri="{63B3BB69-23CF-44E3-9099-C40C66FF867C}">
                  <a14:compatExt spid="_x0000_s8332"/>
                </a:ext>
                <a:ext uri="{FF2B5EF4-FFF2-40B4-BE49-F238E27FC236}">
                  <a16:creationId xmlns:a16="http://schemas.microsoft.com/office/drawing/2014/main" id="{00000000-0008-0000-0000-00008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23</xdr:row>
          <xdr:rowOff>0</xdr:rowOff>
        </xdr:from>
        <xdr:to>
          <xdr:col>27</xdr:col>
          <xdr:colOff>114300</xdr:colOff>
          <xdr:row>24</xdr:row>
          <xdr:rowOff>9525</xdr:rowOff>
        </xdr:to>
        <xdr:sp macro="" textlink="">
          <xdr:nvSpPr>
            <xdr:cNvPr id="8333" name="Option Button 141" hidden="1">
              <a:extLst>
                <a:ext uri="{63B3BB69-23CF-44E3-9099-C40C66FF867C}">
                  <a14:compatExt spid="_x0000_s8333"/>
                </a:ext>
                <a:ext uri="{FF2B5EF4-FFF2-40B4-BE49-F238E27FC236}">
                  <a16:creationId xmlns:a16="http://schemas.microsoft.com/office/drawing/2014/main" id="{00000000-0008-0000-0000-00008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26</xdr:row>
          <xdr:rowOff>0</xdr:rowOff>
        </xdr:from>
        <xdr:to>
          <xdr:col>15</xdr:col>
          <xdr:colOff>57150</xdr:colOff>
          <xdr:row>27</xdr:row>
          <xdr:rowOff>9525</xdr:rowOff>
        </xdr:to>
        <xdr:sp macro="" textlink="">
          <xdr:nvSpPr>
            <xdr:cNvPr id="8334" name="Option Button 142" hidden="1">
              <a:extLst>
                <a:ext uri="{63B3BB69-23CF-44E3-9099-C40C66FF867C}">
                  <a14:compatExt spid="_x0000_s8334"/>
                </a:ext>
                <a:ext uri="{FF2B5EF4-FFF2-40B4-BE49-F238E27FC236}">
                  <a16:creationId xmlns:a16="http://schemas.microsoft.com/office/drawing/2014/main" id="{00000000-0008-0000-0000-00008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26</xdr:row>
          <xdr:rowOff>0</xdr:rowOff>
        </xdr:from>
        <xdr:to>
          <xdr:col>18</xdr:col>
          <xdr:colOff>57150</xdr:colOff>
          <xdr:row>27</xdr:row>
          <xdr:rowOff>9525</xdr:rowOff>
        </xdr:to>
        <xdr:sp macro="" textlink="">
          <xdr:nvSpPr>
            <xdr:cNvPr id="8335" name="Option Button 143" hidden="1">
              <a:extLst>
                <a:ext uri="{63B3BB69-23CF-44E3-9099-C40C66FF867C}">
                  <a14:compatExt spid="_x0000_s8335"/>
                </a:ext>
                <a:ext uri="{FF2B5EF4-FFF2-40B4-BE49-F238E27FC236}">
                  <a16:creationId xmlns:a16="http://schemas.microsoft.com/office/drawing/2014/main" id="{00000000-0008-0000-0000-00008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26</xdr:row>
          <xdr:rowOff>0</xdr:rowOff>
        </xdr:from>
        <xdr:to>
          <xdr:col>22</xdr:col>
          <xdr:colOff>57150</xdr:colOff>
          <xdr:row>27</xdr:row>
          <xdr:rowOff>9525</xdr:rowOff>
        </xdr:to>
        <xdr:sp macro="" textlink="">
          <xdr:nvSpPr>
            <xdr:cNvPr id="8336" name="Option Button 144" hidden="1">
              <a:extLst>
                <a:ext uri="{63B3BB69-23CF-44E3-9099-C40C66FF867C}">
                  <a14:compatExt spid="_x0000_s8336"/>
                </a:ext>
                <a:ext uri="{FF2B5EF4-FFF2-40B4-BE49-F238E27FC236}">
                  <a16:creationId xmlns:a16="http://schemas.microsoft.com/office/drawing/2014/main" id="{00000000-0008-0000-0000-00009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26</xdr:row>
          <xdr:rowOff>0</xdr:rowOff>
        </xdr:from>
        <xdr:to>
          <xdr:col>25</xdr:col>
          <xdr:colOff>57150</xdr:colOff>
          <xdr:row>27</xdr:row>
          <xdr:rowOff>9525</xdr:rowOff>
        </xdr:to>
        <xdr:sp macro="" textlink="">
          <xdr:nvSpPr>
            <xdr:cNvPr id="8337" name="Option Button 145" hidden="1">
              <a:extLst>
                <a:ext uri="{63B3BB69-23CF-44E3-9099-C40C66FF867C}">
                  <a14:compatExt spid="_x0000_s8337"/>
                </a:ext>
                <a:ext uri="{FF2B5EF4-FFF2-40B4-BE49-F238E27FC236}">
                  <a16:creationId xmlns:a16="http://schemas.microsoft.com/office/drawing/2014/main" id="{00000000-0008-0000-0000-00009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25</xdr:row>
          <xdr:rowOff>95250</xdr:rowOff>
        </xdr:from>
        <xdr:to>
          <xdr:col>26</xdr:col>
          <xdr:colOff>28575</xdr:colOff>
          <xdr:row>27</xdr:row>
          <xdr:rowOff>47625</xdr:rowOff>
        </xdr:to>
        <xdr:sp macro="" textlink="">
          <xdr:nvSpPr>
            <xdr:cNvPr id="8338" name="Group Box 146" hidden="1">
              <a:extLst>
                <a:ext uri="{63B3BB69-23CF-44E3-9099-C40C66FF867C}">
                  <a14:compatExt spid="_x0000_s8338"/>
                </a:ext>
                <a:ext uri="{FF2B5EF4-FFF2-40B4-BE49-F238E27FC236}">
                  <a16:creationId xmlns:a16="http://schemas.microsoft.com/office/drawing/2014/main" id="{00000000-0008-0000-0000-00009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27</xdr:row>
          <xdr:rowOff>0</xdr:rowOff>
        </xdr:from>
        <xdr:to>
          <xdr:col>8</xdr:col>
          <xdr:colOff>38100</xdr:colOff>
          <xdr:row>28</xdr:row>
          <xdr:rowOff>0</xdr:rowOff>
        </xdr:to>
        <xdr:sp macro="" textlink="">
          <xdr:nvSpPr>
            <xdr:cNvPr id="8339" name="Option Button 147" hidden="1">
              <a:extLst>
                <a:ext uri="{63B3BB69-23CF-44E3-9099-C40C66FF867C}">
                  <a14:compatExt spid="_x0000_s8339"/>
                </a:ext>
                <a:ext uri="{FF2B5EF4-FFF2-40B4-BE49-F238E27FC236}">
                  <a16:creationId xmlns:a16="http://schemas.microsoft.com/office/drawing/2014/main" id="{00000000-0008-0000-0000-00009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28</xdr:row>
          <xdr:rowOff>0</xdr:rowOff>
        </xdr:from>
        <xdr:to>
          <xdr:col>8</xdr:col>
          <xdr:colOff>38100</xdr:colOff>
          <xdr:row>29</xdr:row>
          <xdr:rowOff>0</xdr:rowOff>
        </xdr:to>
        <xdr:sp macro="" textlink="">
          <xdr:nvSpPr>
            <xdr:cNvPr id="8340" name="Option Button 148" hidden="1">
              <a:extLst>
                <a:ext uri="{63B3BB69-23CF-44E3-9099-C40C66FF867C}">
                  <a14:compatExt spid="_x0000_s8340"/>
                </a:ext>
                <a:ext uri="{FF2B5EF4-FFF2-40B4-BE49-F238E27FC236}">
                  <a16:creationId xmlns:a16="http://schemas.microsoft.com/office/drawing/2014/main" id="{00000000-0008-0000-0000-00009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26</xdr:row>
          <xdr:rowOff>219075</xdr:rowOff>
        </xdr:from>
        <xdr:to>
          <xdr:col>8</xdr:col>
          <xdr:colOff>95250</xdr:colOff>
          <xdr:row>29</xdr:row>
          <xdr:rowOff>9525</xdr:rowOff>
        </xdr:to>
        <xdr:sp macro="" textlink="">
          <xdr:nvSpPr>
            <xdr:cNvPr id="8341" name="Group Box 149" hidden="1">
              <a:extLst>
                <a:ext uri="{63B3BB69-23CF-44E3-9099-C40C66FF867C}">
                  <a14:compatExt spid="_x0000_s8341"/>
                </a:ext>
                <a:ext uri="{FF2B5EF4-FFF2-40B4-BE49-F238E27FC236}">
                  <a16:creationId xmlns:a16="http://schemas.microsoft.com/office/drawing/2014/main" id="{00000000-0008-0000-0000-00009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149</a:t>
              </a:r>
            </a:p>
          </xdr:txBody>
        </xdr:sp>
        <xdr:clientData/>
      </xdr:twoCellAnchor>
    </mc:Choice>
    <mc:Fallback/>
  </mc:AlternateContent>
  <xdr:twoCellAnchor>
    <xdr:from>
      <xdr:col>40</xdr:col>
      <xdr:colOff>149087</xdr:colOff>
      <xdr:row>2</xdr:row>
      <xdr:rowOff>414</xdr:rowOff>
    </xdr:from>
    <xdr:to>
      <xdr:col>56</xdr:col>
      <xdr:colOff>142875</xdr:colOff>
      <xdr:row>7</xdr:row>
      <xdr:rowOff>41412</xdr:rowOff>
    </xdr:to>
    <xdr:sp macro="" textlink="">
      <xdr:nvSpPr>
        <xdr:cNvPr id="2" name="正方形/長方形 1">
          <a:extLst>
            <a:ext uri="{FF2B5EF4-FFF2-40B4-BE49-F238E27FC236}">
              <a16:creationId xmlns:a16="http://schemas.microsoft.com/office/drawing/2014/main" id="{00000000-0008-0000-0000-000002000000}"/>
            </a:ext>
          </a:extLst>
        </xdr:cNvPr>
        <xdr:cNvSpPr/>
      </xdr:nvSpPr>
      <xdr:spPr>
        <a:xfrm>
          <a:off x="7711937" y="286164"/>
          <a:ext cx="3251338" cy="1593573"/>
        </a:xfrm>
        <a:prstGeom prst="rect">
          <a:avLst/>
        </a:prstGeom>
        <a:solidFill>
          <a:schemeClr val="accent4">
            <a:lumMod val="20000"/>
            <a:lumOff val="8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solidFill>
                <a:schemeClr val="tx1"/>
              </a:solidFill>
              <a:latin typeface="BIZ UDゴシック" panose="020B0400000000000000" pitchFamily="49" charset="-128"/>
              <a:ea typeface="BIZ UDゴシック" panose="020B0400000000000000" pitchFamily="49" charset="-128"/>
            </a:rPr>
            <a:t>・水色に塗られた箇所は必ず記入・選択してください。</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（ボタンの選択によって入力箇所が追加・削除されます）</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・記入例を適宜ご参照ください。</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・開始・終了時間は、終日であれば入力不要（水色のままで</a:t>
          </a:r>
          <a:r>
            <a:rPr kumimoji="1" lang="en-US" altLang="ja-JP" sz="1100">
              <a:solidFill>
                <a:schemeClr val="tx1"/>
              </a:solidFill>
              <a:latin typeface="BIZ UDゴシック" panose="020B0400000000000000" pitchFamily="49" charset="-128"/>
              <a:ea typeface="BIZ UDゴシック" panose="020B0400000000000000" pitchFamily="49" charset="-128"/>
            </a:rPr>
            <a:t>OK</a:t>
          </a:r>
          <a:r>
            <a:rPr kumimoji="1" lang="ja-JP" altLang="en-US" sz="1100">
              <a:solidFill>
                <a:schemeClr val="tx1"/>
              </a:solidFill>
              <a:latin typeface="BIZ UDゴシック" panose="020B0400000000000000" pitchFamily="49" charset="-128"/>
              <a:ea typeface="BIZ UDゴシック" panose="020B0400000000000000" pitchFamily="49" charset="-128"/>
            </a:rPr>
            <a:t>）</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・プロジェクトコードは、外部資金のみ入力</a:t>
          </a:r>
        </a:p>
      </xdr:txBody>
    </xdr:sp>
    <xdr:clientData/>
  </xdr:twoCellAnchor>
  <mc:AlternateContent xmlns:mc="http://schemas.openxmlformats.org/markup-compatibility/2006">
    <mc:Choice xmlns:a14="http://schemas.microsoft.com/office/drawing/2010/main" Requires="a14">
      <xdr:twoCellAnchor editAs="oneCell">
        <xdr:from>
          <xdr:col>5</xdr:col>
          <xdr:colOff>190500</xdr:colOff>
          <xdr:row>5</xdr:row>
          <xdr:rowOff>19050</xdr:rowOff>
        </xdr:from>
        <xdr:to>
          <xdr:col>7</xdr:col>
          <xdr:colOff>123825</xdr:colOff>
          <xdr:row>6</xdr:row>
          <xdr:rowOff>0</xdr:rowOff>
        </xdr:to>
        <xdr:sp macro="" textlink="">
          <xdr:nvSpPr>
            <xdr:cNvPr id="8350" name="Option Button 158" hidden="1">
              <a:extLst>
                <a:ext uri="{63B3BB69-23CF-44E3-9099-C40C66FF867C}">
                  <a14:compatExt spid="_x0000_s8350"/>
                </a:ext>
                <a:ext uri="{FF2B5EF4-FFF2-40B4-BE49-F238E27FC236}">
                  <a16:creationId xmlns:a16="http://schemas.microsoft.com/office/drawing/2014/main" id="{00000000-0008-0000-0000-00009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5</xdr:row>
          <xdr:rowOff>0</xdr:rowOff>
        </xdr:from>
        <xdr:to>
          <xdr:col>14</xdr:col>
          <xdr:colOff>114300</xdr:colOff>
          <xdr:row>5</xdr:row>
          <xdr:rowOff>200025</xdr:rowOff>
        </xdr:to>
        <xdr:sp macro="" textlink="">
          <xdr:nvSpPr>
            <xdr:cNvPr id="8351" name="Option Button 159" hidden="1">
              <a:extLst>
                <a:ext uri="{63B3BB69-23CF-44E3-9099-C40C66FF867C}">
                  <a14:compatExt spid="_x0000_s8351"/>
                </a:ext>
                <a:ext uri="{FF2B5EF4-FFF2-40B4-BE49-F238E27FC236}">
                  <a16:creationId xmlns:a16="http://schemas.microsoft.com/office/drawing/2014/main" id="{00000000-0008-0000-0000-00009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180975</xdr:colOff>
          <xdr:row>5</xdr:row>
          <xdr:rowOff>0</xdr:rowOff>
        </xdr:from>
        <xdr:to>
          <xdr:col>21</xdr:col>
          <xdr:colOff>114300</xdr:colOff>
          <xdr:row>6</xdr:row>
          <xdr:rowOff>0</xdr:rowOff>
        </xdr:to>
        <xdr:sp macro="" textlink="">
          <xdr:nvSpPr>
            <xdr:cNvPr id="8352" name="Option Button 160" hidden="1">
              <a:extLst>
                <a:ext uri="{63B3BB69-23CF-44E3-9099-C40C66FF867C}">
                  <a14:compatExt spid="_x0000_s8352"/>
                </a:ext>
                <a:ext uri="{FF2B5EF4-FFF2-40B4-BE49-F238E27FC236}">
                  <a16:creationId xmlns:a16="http://schemas.microsoft.com/office/drawing/2014/main" id="{00000000-0008-0000-0000-0000A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4</xdr:row>
          <xdr:rowOff>266700</xdr:rowOff>
        </xdr:from>
        <xdr:to>
          <xdr:col>26</xdr:col>
          <xdr:colOff>76200</xdr:colOff>
          <xdr:row>6</xdr:row>
          <xdr:rowOff>142875</xdr:rowOff>
        </xdr:to>
        <xdr:sp macro="" textlink="">
          <xdr:nvSpPr>
            <xdr:cNvPr id="8353" name="Group Box 161" hidden="1">
              <a:extLst>
                <a:ext uri="{63B3BB69-23CF-44E3-9099-C40C66FF867C}">
                  <a14:compatExt spid="_x0000_s8353"/>
                </a:ext>
                <a:ext uri="{FF2B5EF4-FFF2-40B4-BE49-F238E27FC236}">
                  <a16:creationId xmlns:a16="http://schemas.microsoft.com/office/drawing/2014/main" id="{00000000-0008-0000-0000-0000A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161</a:t>
              </a:r>
            </a:p>
          </xdr:txBody>
        </xdr:sp>
        <xdr:clientData/>
      </xdr:twoCellAnchor>
    </mc:Choice>
    <mc:Fallback/>
  </mc:AlternateContent>
  <xdr:oneCellAnchor>
    <xdr:from>
      <xdr:col>41</xdr:col>
      <xdr:colOff>9525</xdr:colOff>
      <xdr:row>20</xdr:row>
      <xdr:rowOff>0</xdr:rowOff>
    </xdr:from>
    <xdr:ext cx="7126823" cy="4316503"/>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7829550" y="5010150"/>
          <a:ext cx="7126823" cy="4316503"/>
        </a:xfrm>
        <a:prstGeom prst="rect">
          <a:avLst/>
        </a:prstGeom>
        <a:ln>
          <a:solidFill>
            <a:srgbClr val="FF0000"/>
          </a:solidFill>
        </a:ln>
      </xdr:spPr>
      <xdr:style>
        <a:lnRef idx="2">
          <a:schemeClr val="accent3"/>
        </a:lnRef>
        <a:fillRef idx="1">
          <a:schemeClr val="lt1"/>
        </a:fillRef>
        <a:effectRef idx="0">
          <a:schemeClr val="accent3"/>
        </a:effectRef>
        <a:fontRef idx="minor">
          <a:schemeClr val="dk1"/>
        </a:fontRef>
      </xdr:style>
      <xdr:txBody>
        <a:bodyPr vertOverflow="clip" horzOverflow="clip" wrap="none" rtlCol="0" anchor="t">
          <a:spAutoFit/>
        </a:bodyPr>
        <a:lstStyle/>
        <a:p>
          <a:r>
            <a:rPr kumimoji="1" lang="ja-JP" altLang="en-US" sz="1050" b="1">
              <a:solidFill>
                <a:srgbClr val="FF0000"/>
              </a:solidFill>
              <a:latin typeface="游ゴシック" panose="020B0400000000000000" pitchFamily="50" charset="-128"/>
              <a:ea typeface="游ゴシック" panose="020B0400000000000000" pitchFamily="50" charset="-128"/>
            </a:rPr>
            <a:t>★「⑨謝金」の記入方法</a:t>
          </a:r>
        </a:p>
        <a:p>
          <a:r>
            <a:rPr kumimoji="1" lang="ja-JP" altLang="en-US" sz="1050" b="1">
              <a:solidFill>
                <a:srgbClr val="FF0000"/>
              </a:solidFill>
              <a:latin typeface="游ゴシック" panose="020B0400000000000000" pitchFamily="50" charset="-128"/>
              <a:ea typeface="游ゴシック" panose="020B0400000000000000" pitchFamily="50" charset="-128"/>
            </a:rPr>
            <a:t>①筑波大学謝金単価に定める通り、支給する場合</a:t>
          </a:r>
        </a:p>
        <a:p>
          <a:r>
            <a:rPr kumimoji="1" lang="ja-JP" altLang="en-US" sz="1050">
              <a:solidFill>
                <a:srgbClr val="FF0000"/>
              </a:solidFill>
              <a:latin typeface="游ゴシック" panose="020B0400000000000000" pitchFamily="50" charset="-128"/>
              <a:ea typeface="游ゴシック" panose="020B0400000000000000" pitchFamily="50" charset="-128"/>
            </a:rPr>
            <a:t>　</a:t>
          </a:r>
          <a:r>
            <a:rPr kumimoji="1" lang="en-US" altLang="ja-JP" sz="1050">
              <a:solidFill>
                <a:srgbClr val="FF0000"/>
              </a:solidFill>
              <a:latin typeface="游ゴシック" panose="020B0400000000000000" pitchFamily="50" charset="-128"/>
              <a:ea typeface="游ゴシック" panose="020B0400000000000000" pitchFamily="50" charset="-128"/>
            </a:rPr>
            <a:t>※</a:t>
          </a:r>
          <a:r>
            <a:rPr kumimoji="1" lang="ja-JP" altLang="en-US" sz="1050">
              <a:solidFill>
                <a:srgbClr val="FF0000"/>
              </a:solidFill>
              <a:latin typeface="游ゴシック" panose="020B0400000000000000" pitchFamily="50" charset="-128"/>
              <a:ea typeface="游ゴシック" panose="020B0400000000000000" pitchFamily="50" charset="-128"/>
            </a:rPr>
            <a:t>本部等非常勤職員の勤務時間及び報酬に関する規則に定める額（毎年</a:t>
          </a:r>
          <a:r>
            <a:rPr kumimoji="1" lang="en-US" altLang="ja-JP" sz="1050">
              <a:solidFill>
                <a:srgbClr val="FF0000"/>
              </a:solidFill>
              <a:latin typeface="游ゴシック" panose="020B0400000000000000" pitchFamily="50" charset="-128"/>
              <a:ea typeface="游ゴシック" panose="020B0400000000000000" pitchFamily="50" charset="-128"/>
            </a:rPr>
            <a:t>10</a:t>
          </a:r>
          <a:r>
            <a:rPr kumimoji="1" lang="ja-JP" altLang="en-US" sz="1050">
              <a:solidFill>
                <a:srgbClr val="FF0000"/>
              </a:solidFill>
              <a:latin typeface="游ゴシック" panose="020B0400000000000000" pitchFamily="50" charset="-128"/>
              <a:ea typeface="游ゴシック" panose="020B0400000000000000" pitchFamily="50" charset="-128"/>
            </a:rPr>
            <a:t>月頃に更新）</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1</a:t>
          </a:r>
          <a:r>
            <a:rPr kumimoji="1" lang="ja-JP" altLang="en-US" sz="1050">
              <a:solidFill>
                <a:srgbClr val="FF0000"/>
              </a:solidFill>
              <a:latin typeface="游ゴシック" panose="020B0400000000000000" pitchFamily="50" charset="-128"/>
              <a:ea typeface="游ゴシック" panose="020B0400000000000000" pitchFamily="50" charset="-128"/>
            </a:rPr>
            <a:t>）数量に</a:t>
          </a:r>
          <a:r>
            <a:rPr kumimoji="1" lang="ja-JP" altLang="en-US" sz="1050" u="sng">
              <a:solidFill>
                <a:srgbClr val="FF0000"/>
              </a:solidFill>
              <a:latin typeface="游ゴシック" panose="020B0400000000000000" pitchFamily="50" charset="-128"/>
              <a:ea typeface="游ゴシック" panose="020B0400000000000000" pitchFamily="50" charset="-128"/>
            </a:rPr>
            <a:t>「最長実験時間</a:t>
          </a:r>
          <a:r>
            <a:rPr kumimoji="1" lang="en-US" altLang="ja-JP" sz="1050" u="sng">
              <a:solidFill>
                <a:srgbClr val="FF0000"/>
              </a:solidFill>
              <a:latin typeface="游ゴシック" panose="020B0400000000000000" pitchFamily="50" charset="-128"/>
              <a:ea typeface="游ゴシック" panose="020B0400000000000000" pitchFamily="50" charset="-128"/>
            </a:rPr>
            <a:t>×</a:t>
          </a:r>
          <a:r>
            <a:rPr kumimoji="1" lang="ja-JP" altLang="en-US" sz="1050" u="sng">
              <a:solidFill>
                <a:srgbClr val="FF0000"/>
              </a:solidFill>
              <a:latin typeface="游ゴシック" panose="020B0400000000000000" pitchFamily="50" charset="-128"/>
              <a:ea typeface="游ゴシック" panose="020B0400000000000000" pitchFamily="50" charset="-128"/>
            </a:rPr>
            <a:t>最大合計人数」</a:t>
          </a:r>
          <a:r>
            <a:rPr kumimoji="1" lang="ja-JP" altLang="en-US" sz="1050">
              <a:solidFill>
                <a:srgbClr val="FF0000"/>
              </a:solidFill>
              <a:latin typeface="游ゴシック" panose="020B0400000000000000" pitchFamily="50" charset="-128"/>
              <a:ea typeface="游ゴシック" panose="020B0400000000000000" pitchFamily="50" charset="-128"/>
            </a:rPr>
            <a:t>を記入する。</a:t>
          </a:r>
          <a:r>
            <a:rPr kumimoji="1" lang="en-US" altLang="ja-JP" sz="1050">
              <a:solidFill>
                <a:srgbClr val="FF0000"/>
              </a:solidFill>
              <a:latin typeface="游ゴシック" panose="020B0400000000000000" pitchFamily="50" charset="-128"/>
              <a:ea typeface="游ゴシック" panose="020B0400000000000000" pitchFamily="50" charset="-128"/>
            </a:rPr>
            <a:t>※</a:t>
          </a:r>
          <a:r>
            <a:rPr kumimoji="1" lang="ja-JP" altLang="en-US" sz="1050">
              <a:solidFill>
                <a:srgbClr val="FF0000"/>
              </a:solidFill>
              <a:latin typeface="游ゴシック" panose="020B0400000000000000" pitchFamily="50" charset="-128"/>
              <a:ea typeface="游ゴシック" panose="020B0400000000000000" pitchFamily="50" charset="-128"/>
            </a:rPr>
            <a:t>欄外「＜参考＞謝金見込額計算用」で計算できます。</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2</a:t>
          </a:r>
          <a:r>
            <a:rPr kumimoji="1" lang="ja-JP" altLang="en-US" sz="1050">
              <a:solidFill>
                <a:srgbClr val="FF0000"/>
              </a:solidFill>
              <a:latin typeface="游ゴシック" panose="020B0400000000000000" pitchFamily="50" charset="-128"/>
              <a:ea typeface="游ゴシック" panose="020B0400000000000000" pitchFamily="50" charset="-128"/>
            </a:rPr>
            <a:t>）「合計額を満額支給予定」にチェックを入れる。</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3</a:t>
          </a:r>
          <a:r>
            <a:rPr kumimoji="1" lang="ja-JP" altLang="en-US" sz="1050">
              <a:solidFill>
                <a:srgbClr val="FF0000"/>
              </a:solidFill>
              <a:latin typeface="游ゴシック" panose="020B0400000000000000" pitchFamily="50" charset="-128"/>
              <a:ea typeface="游ゴシック" panose="020B0400000000000000" pitchFamily="50" charset="-128"/>
            </a:rPr>
            <a:t>）「⑫備考欄」に「最大人数〇〇人、最長時間〇〇分」又は「最大人数〇〇人、〇〇時間</a:t>
          </a:r>
          <a:r>
            <a:rPr kumimoji="1" lang="en-US" altLang="ja-JP" sz="1050">
              <a:solidFill>
                <a:srgbClr val="FF0000"/>
              </a:solidFill>
              <a:latin typeface="游ゴシック" panose="020B0400000000000000" pitchFamily="50" charset="-128"/>
              <a:ea typeface="游ゴシック" panose="020B0400000000000000" pitchFamily="50" charset="-128"/>
            </a:rPr>
            <a:t>/</a:t>
          </a:r>
          <a:r>
            <a:rPr kumimoji="1" lang="ja-JP" altLang="en-US" sz="1050">
              <a:solidFill>
                <a:srgbClr val="FF0000"/>
              </a:solidFill>
              <a:latin typeface="游ゴシック" panose="020B0400000000000000" pitchFamily="50" charset="-128"/>
              <a:ea typeface="游ゴシック" panose="020B0400000000000000" pitchFamily="50" charset="-128"/>
            </a:rPr>
            <a:t>人」と記入する。</a:t>
          </a:r>
        </a:p>
        <a:p>
          <a:endParaRPr kumimoji="1" lang="ja-JP" altLang="en-US" sz="1050">
            <a:solidFill>
              <a:srgbClr val="FF0000"/>
            </a:solidFill>
            <a:latin typeface="游ゴシック" panose="020B0400000000000000" pitchFamily="50" charset="-128"/>
            <a:ea typeface="游ゴシック" panose="020B0400000000000000" pitchFamily="50" charset="-128"/>
          </a:endParaRPr>
        </a:p>
        <a:p>
          <a:r>
            <a:rPr kumimoji="1" lang="ja-JP" altLang="en-US" sz="1050" b="1">
              <a:solidFill>
                <a:srgbClr val="FF0000"/>
              </a:solidFill>
              <a:latin typeface="游ゴシック" panose="020B0400000000000000" pitchFamily="50" charset="-128"/>
              <a:ea typeface="游ゴシック" panose="020B0400000000000000" pitchFamily="50" charset="-128"/>
            </a:rPr>
            <a:t>②１実験あたりの謝金金額を定める場合（例：</a:t>
          </a:r>
          <a:r>
            <a:rPr kumimoji="1" lang="en-US" altLang="ja-JP" sz="1050" b="1">
              <a:solidFill>
                <a:srgbClr val="FF0000"/>
              </a:solidFill>
              <a:latin typeface="游ゴシック" panose="020B0400000000000000" pitchFamily="50" charset="-128"/>
              <a:ea typeface="游ゴシック" panose="020B0400000000000000" pitchFamily="50" charset="-128"/>
            </a:rPr>
            <a:t>90</a:t>
          </a:r>
          <a:r>
            <a:rPr kumimoji="1" lang="ja-JP" altLang="en-US" sz="1050" b="1">
              <a:solidFill>
                <a:srgbClr val="FF0000"/>
              </a:solidFill>
              <a:latin typeface="游ゴシック" panose="020B0400000000000000" pitchFamily="50" charset="-128"/>
              <a:ea typeface="游ゴシック" panose="020B0400000000000000" pitchFamily="50" charset="-128"/>
            </a:rPr>
            <a:t>分の実験で謝金</a:t>
          </a:r>
          <a:r>
            <a:rPr kumimoji="1" lang="en-US" altLang="ja-JP" sz="1050" b="1">
              <a:solidFill>
                <a:srgbClr val="FF0000"/>
              </a:solidFill>
              <a:latin typeface="游ゴシック" panose="020B0400000000000000" pitchFamily="50" charset="-128"/>
              <a:ea typeface="游ゴシック" panose="020B0400000000000000" pitchFamily="50" charset="-128"/>
            </a:rPr>
            <a:t>1500</a:t>
          </a:r>
          <a:r>
            <a:rPr kumimoji="1" lang="ja-JP" altLang="en-US" sz="1050" b="1">
              <a:solidFill>
                <a:srgbClr val="FF0000"/>
              </a:solidFill>
              <a:latin typeface="游ゴシック" panose="020B0400000000000000" pitchFamily="50" charset="-128"/>
              <a:ea typeface="游ゴシック" panose="020B0400000000000000" pitchFamily="50" charset="-128"/>
            </a:rPr>
            <a:t>円を</a:t>
          </a:r>
          <a:r>
            <a:rPr kumimoji="1" lang="en-US" altLang="ja-JP" sz="1050" b="1">
              <a:solidFill>
                <a:srgbClr val="FF0000"/>
              </a:solidFill>
              <a:latin typeface="游ゴシック" panose="020B0400000000000000" pitchFamily="50" charset="-128"/>
              <a:ea typeface="游ゴシック" panose="020B0400000000000000" pitchFamily="50" charset="-128"/>
            </a:rPr>
            <a:t>10</a:t>
          </a:r>
          <a:r>
            <a:rPr kumimoji="1" lang="ja-JP" altLang="en-US" sz="1050" b="1">
              <a:solidFill>
                <a:srgbClr val="FF0000"/>
              </a:solidFill>
              <a:latin typeface="游ゴシック" panose="020B0400000000000000" pitchFamily="50" charset="-128"/>
              <a:ea typeface="游ゴシック" panose="020B0400000000000000" pitchFamily="50" charset="-128"/>
            </a:rPr>
            <a:t>名に支給）</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1</a:t>
          </a:r>
          <a:r>
            <a:rPr kumimoji="1" lang="ja-JP" altLang="en-US" sz="1050">
              <a:solidFill>
                <a:srgbClr val="FF0000"/>
              </a:solidFill>
              <a:latin typeface="游ゴシック" panose="020B0400000000000000" pitchFamily="50" charset="-128"/>
              <a:ea typeface="游ゴシック" panose="020B0400000000000000" pitchFamily="50" charset="-128"/>
            </a:rPr>
            <a:t>）数量に</a:t>
          </a:r>
          <a:r>
            <a:rPr kumimoji="1" lang="ja-JP" altLang="en-US" sz="1050" u="sng">
              <a:solidFill>
                <a:srgbClr val="FF0000"/>
              </a:solidFill>
              <a:latin typeface="游ゴシック" panose="020B0400000000000000" pitchFamily="50" charset="-128"/>
              <a:ea typeface="游ゴシック" panose="020B0400000000000000" pitchFamily="50" charset="-128"/>
            </a:rPr>
            <a:t>「最長実験時間</a:t>
          </a:r>
          <a:r>
            <a:rPr kumimoji="1" lang="en-US" altLang="ja-JP" sz="1050" u="sng">
              <a:solidFill>
                <a:srgbClr val="FF0000"/>
              </a:solidFill>
              <a:latin typeface="游ゴシック" panose="020B0400000000000000" pitchFamily="50" charset="-128"/>
              <a:ea typeface="游ゴシック" panose="020B0400000000000000" pitchFamily="50" charset="-128"/>
            </a:rPr>
            <a:t>×</a:t>
          </a:r>
          <a:r>
            <a:rPr kumimoji="1" lang="ja-JP" altLang="en-US" sz="1050" u="sng">
              <a:solidFill>
                <a:srgbClr val="FF0000"/>
              </a:solidFill>
              <a:latin typeface="游ゴシック" panose="020B0400000000000000" pitchFamily="50" charset="-128"/>
              <a:ea typeface="游ゴシック" panose="020B0400000000000000" pitchFamily="50" charset="-128"/>
            </a:rPr>
            <a:t>最大合計人数（</a:t>
          </a:r>
          <a:r>
            <a:rPr kumimoji="1" lang="en-US" altLang="ja-JP" sz="1050" u="sng">
              <a:solidFill>
                <a:srgbClr val="FF0000"/>
              </a:solidFill>
              <a:latin typeface="游ゴシック" panose="020B0400000000000000" pitchFamily="50" charset="-128"/>
              <a:ea typeface="游ゴシック" panose="020B0400000000000000" pitchFamily="50" charset="-128"/>
            </a:rPr>
            <a:t>※</a:t>
          </a:r>
          <a:r>
            <a:rPr kumimoji="1" lang="ja-JP" altLang="en-US" sz="1050" u="sng">
              <a:solidFill>
                <a:srgbClr val="FF0000"/>
              </a:solidFill>
              <a:latin typeface="游ゴシック" panose="020B0400000000000000" pitchFamily="50" charset="-128"/>
              <a:ea typeface="游ゴシック" panose="020B0400000000000000" pitchFamily="50" charset="-128"/>
            </a:rPr>
            <a:t>）」</a:t>
          </a:r>
          <a:r>
            <a:rPr kumimoji="1" lang="ja-JP" altLang="en-US" sz="1050">
              <a:solidFill>
                <a:srgbClr val="FF0000"/>
              </a:solidFill>
              <a:latin typeface="游ゴシック" panose="020B0400000000000000" pitchFamily="50" charset="-128"/>
              <a:ea typeface="游ゴシック" panose="020B0400000000000000" pitchFamily="50" charset="-128"/>
            </a:rPr>
            <a:t>を記入する。</a:t>
          </a:r>
          <a:r>
            <a:rPr kumimoji="1" lang="en-US" altLang="ja-JP" sz="1050">
              <a:solidFill>
                <a:srgbClr val="FF0000"/>
              </a:solidFill>
              <a:latin typeface="游ゴシック" panose="020B0400000000000000" pitchFamily="50" charset="-128"/>
              <a:ea typeface="游ゴシック" panose="020B0400000000000000" pitchFamily="50" charset="-128"/>
            </a:rPr>
            <a:t>※</a:t>
          </a:r>
          <a:r>
            <a:rPr kumimoji="1" lang="ja-JP" altLang="en-US" sz="1050">
              <a:solidFill>
                <a:srgbClr val="FF0000"/>
              </a:solidFill>
              <a:latin typeface="游ゴシック" panose="020B0400000000000000" pitchFamily="50" charset="-128"/>
              <a:ea typeface="游ゴシック" panose="020B0400000000000000" pitchFamily="50" charset="-128"/>
            </a:rPr>
            <a:t>実際に支給する謝金額ではありません。</a:t>
          </a:r>
        </a:p>
        <a:p>
          <a:r>
            <a:rPr kumimoji="1" lang="ja-JP" altLang="en-US" sz="1050">
              <a:solidFill>
                <a:srgbClr val="FF0000"/>
              </a:solidFill>
              <a:latin typeface="游ゴシック" panose="020B0400000000000000" pitchFamily="50" charset="-128"/>
              <a:ea typeface="游ゴシック" panose="020B0400000000000000" pitchFamily="50" charset="-128"/>
            </a:rPr>
            <a:t>　（例：単価</a:t>
          </a:r>
          <a:r>
            <a:rPr kumimoji="1" lang="en-US" altLang="ja-JP" sz="1050">
              <a:solidFill>
                <a:srgbClr val="FF0000"/>
              </a:solidFill>
              <a:latin typeface="游ゴシック" panose="020B0400000000000000" pitchFamily="50" charset="-128"/>
              <a:ea typeface="游ゴシック" panose="020B0400000000000000" pitchFamily="50" charset="-128"/>
            </a:rPr>
            <a:t>1,230</a:t>
          </a:r>
          <a:r>
            <a:rPr kumimoji="1" lang="ja-JP" altLang="en-US" sz="1050">
              <a:solidFill>
                <a:srgbClr val="FF0000"/>
              </a:solidFill>
              <a:latin typeface="游ゴシック" panose="020B0400000000000000" pitchFamily="50" charset="-128"/>
              <a:ea typeface="游ゴシック" panose="020B0400000000000000" pitchFamily="50" charset="-128"/>
            </a:rPr>
            <a:t>円</a:t>
          </a:r>
          <a:r>
            <a:rPr kumimoji="1" lang="en-US" altLang="ja-JP" sz="1050">
              <a:solidFill>
                <a:srgbClr val="FF0000"/>
              </a:solidFill>
              <a:latin typeface="游ゴシック" panose="020B0400000000000000" pitchFamily="50" charset="-128"/>
              <a:ea typeface="游ゴシック" panose="020B0400000000000000" pitchFamily="50" charset="-128"/>
            </a:rPr>
            <a:t>×</a:t>
          </a:r>
          <a:r>
            <a:rPr kumimoji="1" lang="ja-JP" altLang="en-US" sz="1050">
              <a:solidFill>
                <a:srgbClr val="FF0000"/>
              </a:solidFill>
              <a:latin typeface="游ゴシック" panose="020B0400000000000000" pitchFamily="50" charset="-128"/>
              <a:ea typeface="游ゴシック" panose="020B0400000000000000" pitchFamily="50" charset="-128"/>
            </a:rPr>
            <a:t>数量</a:t>
          </a:r>
          <a:r>
            <a:rPr kumimoji="1" lang="en-US" altLang="ja-JP" sz="1050">
              <a:solidFill>
                <a:srgbClr val="FF0000"/>
              </a:solidFill>
              <a:latin typeface="游ゴシック" panose="020B0400000000000000" pitchFamily="50" charset="-128"/>
              <a:ea typeface="游ゴシック" panose="020B0400000000000000" pitchFamily="50" charset="-128"/>
            </a:rPr>
            <a:t>15</a:t>
          </a:r>
          <a:r>
            <a:rPr kumimoji="1" lang="ja-JP" altLang="en-US" sz="1050">
              <a:solidFill>
                <a:srgbClr val="FF0000"/>
              </a:solidFill>
              <a:latin typeface="游ゴシック" panose="020B0400000000000000" pitchFamily="50" charset="-128"/>
              <a:ea typeface="游ゴシック" panose="020B0400000000000000" pitchFamily="50" charset="-128"/>
            </a:rPr>
            <a:t>時間（</a:t>
          </a:r>
          <a:r>
            <a:rPr kumimoji="1" lang="en-US" altLang="ja-JP" sz="1050">
              <a:solidFill>
                <a:srgbClr val="FF0000"/>
              </a:solidFill>
              <a:latin typeface="游ゴシック" panose="020B0400000000000000" pitchFamily="50" charset="-128"/>
              <a:ea typeface="游ゴシック" panose="020B0400000000000000" pitchFamily="50" charset="-128"/>
            </a:rPr>
            <a:t>90</a:t>
          </a:r>
          <a:r>
            <a:rPr kumimoji="1" lang="ja-JP" altLang="en-US" sz="1050">
              <a:solidFill>
                <a:srgbClr val="FF0000"/>
              </a:solidFill>
              <a:latin typeface="游ゴシック" panose="020B0400000000000000" pitchFamily="50" charset="-128"/>
              <a:ea typeface="游ゴシック" panose="020B0400000000000000" pitchFamily="50" charset="-128"/>
            </a:rPr>
            <a:t>分</a:t>
          </a:r>
          <a:r>
            <a:rPr kumimoji="1" lang="en-US" altLang="ja-JP" sz="1050">
              <a:solidFill>
                <a:srgbClr val="FF0000"/>
              </a:solidFill>
              <a:latin typeface="游ゴシック" panose="020B0400000000000000" pitchFamily="50" charset="-128"/>
              <a:ea typeface="游ゴシック" panose="020B0400000000000000" pitchFamily="50" charset="-128"/>
            </a:rPr>
            <a:t>×10</a:t>
          </a:r>
          <a:r>
            <a:rPr kumimoji="1" lang="ja-JP" altLang="en-US" sz="1050">
              <a:solidFill>
                <a:srgbClr val="FF0000"/>
              </a:solidFill>
              <a:latin typeface="游ゴシック" panose="020B0400000000000000" pitchFamily="50" charset="-128"/>
              <a:ea typeface="游ゴシック" panose="020B0400000000000000" pitchFamily="50" charset="-128"/>
            </a:rPr>
            <a:t>人）＝計</a:t>
          </a:r>
          <a:r>
            <a:rPr kumimoji="1" lang="en-US" altLang="ja-JP" sz="1050">
              <a:solidFill>
                <a:srgbClr val="FF0000"/>
              </a:solidFill>
              <a:latin typeface="游ゴシック" panose="020B0400000000000000" pitchFamily="50" charset="-128"/>
              <a:ea typeface="游ゴシック" panose="020B0400000000000000" pitchFamily="50" charset="-128"/>
            </a:rPr>
            <a:t>18,450</a:t>
          </a:r>
          <a:r>
            <a:rPr kumimoji="1" lang="ja-JP" altLang="en-US" sz="1050">
              <a:solidFill>
                <a:srgbClr val="FF0000"/>
              </a:solidFill>
              <a:latin typeface="游ゴシック" panose="020B0400000000000000" pitchFamily="50" charset="-128"/>
              <a:ea typeface="游ゴシック" panose="020B0400000000000000" pitchFamily="50" charset="-128"/>
            </a:rPr>
            <a:t>円、打ち切り金額を定める場合</a:t>
          </a:r>
          <a:r>
            <a:rPr kumimoji="1" lang="en-US" altLang="ja-JP" sz="1050">
              <a:solidFill>
                <a:srgbClr val="FF0000"/>
              </a:solidFill>
              <a:latin typeface="游ゴシック" panose="020B0400000000000000" pitchFamily="50" charset="-128"/>
              <a:ea typeface="游ゴシック" panose="020B0400000000000000" pitchFamily="50" charset="-128"/>
            </a:rPr>
            <a:t>15,000</a:t>
          </a:r>
          <a:r>
            <a:rPr kumimoji="1" lang="ja-JP" altLang="en-US" sz="1050">
              <a:solidFill>
                <a:srgbClr val="FF0000"/>
              </a:solidFill>
              <a:latin typeface="游ゴシック" panose="020B0400000000000000" pitchFamily="50" charset="-128"/>
              <a:ea typeface="游ゴシック" panose="020B0400000000000000" pitchFamily="50" charset="-128"/>
            </a:rPr>
            <a:t>円打ち切り）</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2</a:t>
          </a:r>
          <a:r>
            <a:rPr kumimoji="1" lang="ja-JP" altLang="en-US" sz="1050">
              <a:solidFill>
                <a:srgbClr val="FF0000"/>
              </a:solidFill>
              <a:latin typeface="游ゴシック" panose="020B0400000000000000" pitchFamily="50" charset="-128"/>
              <a:ea typeface="游ゴシック" panose="020B0400000000000000" pitchFamily="50" charset="-128"/>
            </a:rPr>
            <a:t>）「打ち切り金額を定める場合」にチェックを入れる。</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3</a:t>
          </a:r>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ja-JP" altLang="en-US" sz="1050" u="sng">
              <a:solidFill>
                <a:srgbClr val="FF0000"/>
              </a:solidFill>
              <a:latin typeface="游ゴシック" panose="020B0400000000000000" pitchFamily="50" charset="-128"/>
              <a:ea typeface="游ゴシック" panose="020B0400000000000000" pitchFamily="50" charset="-128"/>
            </a:rPr>
            <a:t>「１実験あたりの謝金額</a:t>
          </a:r>
          <a:r>
            <a:rPr kumimoji="1" lang="en-US" altLang="ja-JP" sz="1050" u="sng">
              <a:solidFill>
                <a:srgbClr val="FF0000"/>
              </a:solidFill>
              <a:latin typeface="游ゴシック" panose="020B0400000000000000" pitchFamily="50" charset="-128"/>
              <a:ea typeface="游ゴシック" panose="020B0400000000000000" pitchFamily="50" charset="-128"/>
            </a:rPr>
            <a:t>×</a:t>
          </a:r>
          <a:r>
            <a:rPr kumimoji="1" lang="ja-JP" altLang="en-US" sz="1050" u="sng">
              <a:solidFill>
                <a:srgbClr val="FF0000"/>
              </a:solidFill>
              <a:latin typeface="游ゴシック" panose="020B0400000000000000" pitchFamily="50" charset="-128"/>
              <a:ea typeface="游ゴシック" panose="020B0400000000000000" pitchFamily="50" charset="-128"/>
            </a:rPr>
            <a:t>最大合計人数」</a:t>
          </a:r>
          <a:r>
            <a:rPr kumimoji="1" lang="ja-JP" altLang="en-US" sz="1050">
              <a:solidFill>
                <a:srgbClr val="FF0000"/>
              </a:solidFill>
              <a:latin typeface="游ゴシック" panose="020B0400000000000000" pitchFamily="50" charset="-128"/>
              <a:ea typeface="游ゴシック" panose="020B0400000000000000" pitchFamily="50" charset="-128"/>
            </a:rPr>
            <a:t>で計算した打ち切り金額を</a:t>
          </a:r>
          <a:r>
            <a:rPr kumimoji="1" lang="en-US" altLang="ja-JP" sz="1050" u="sng">
              <a:solidFill>
                <a:srgbClr val="FF0000"/>
              </a:solidFill>
              <a:latin typeface="游ゴシック" panose="020B0400000000000000" pitchFamily="50" charset="-128"/>
              <a:ea typeface="游ゴシック" panose="020B0400000000000000" pitchFamily="50" charset="-128"/>
            </a:rPr>
            <a:t>R29</a:t>
          </a:r>
          <a:r>
            <a:rPr kumimoji="1" lang="ja-JP" altLang="en-US" sz="1050" u="sng">
              <a:solidFill>
                <a:srgbClr val="FF0000"/>
              </a:solidFill>
              <a:latin typeface="游ゴシック" panose="020B0400000000000000" pitchFamily="50" charset="-128"/>
              <a:ea typeface="游ゴシック" panose="020B0400000000000000" pitchFamily="50" charset="-128"/>
            </a:rPr>
            <a:t>セル</a:t>
          </a:r>
          <a:r>
            <a:rPr kumimoji="1" lang="ja-JP" altLang="en-US" sz="1050">
              <a:solidFill>
                <a:srgbClr val="FF0000"/>
              </a:solidFill>
              <a:latin typeface="游ゴシック" panose="020B0400000000000000" pitchFamily="50" charset="-128"/>
              <a:ea typeface="游ゴシック" panose="020B0400000000000000" pitchFamily="50" charset="-128"/>
            </a:rPr>
            <a:t>に記入する。</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4</a:t>
          </a:r>
          <a:r>
            <a:rPr kumimoji="1" lang="ja-JP" altLang="en-US" sz="1050">
              <a:solidFill>
                <a:srgbClr val="FF0000"/>
              </a:solidFill>
              <a:latin typeface="游ゴシック" panose="020B0400000000000000" pitchFamily="50" charset="-128"/>
              <a:ea typeface="游ゴシック" panose="020B0400000000000000" pitchFamily="50" charset="-128"/>
            </a:rPr>
            <a:t>）打ち切り金額が、</a:t>
          </a:r>
          <a:r>
            <a:rPr kumimoji="1" lang="en-US" altLang="ja-JP" sz="1050" u="sng">
              <a:solidFill>
                <a:srgbClr val="FF0000"/>
              </a:solidFill>
              <a:latin typeface="游ゴシック" panose="020B0400000000000000" pitchFamily="50" charset="-128"/>
              <a:ea typeface="游ゴシック" panose="020B0400000000000000" pitchFamily="50" charset="-128"/>
            </a:rPr>
            <a:t>AG27</a:t>
          </a:r>
          <a:r>
            <a:rPr kumimoji="1" lang="ja-JP" altLang="en-US" sz="1050" u="sng">
              <a:solidFill>
                <a:srgbClr val="FF0000"/>
              </a:solidFill>
              <a:latin typeface="游ゴシック" panose="020B0400000000000000" pitchFamily="50" charset="-128"/>
              <a:ea typeface="游ゴシック" panose="020B0400000000000000" pitchFamily="50" charset="-128"/>
            </a:rPr>
            <a:t>セルの合計額未満</a:t>
          </a:r>
          <a:r>
            <a:rPr kumimoji="1" lang="ja-JP" altLang="en-US" sz="1050">
              <a:solidFill>
                <a:srgbClr val="FF0000"/>
              </a:solidFill>
              <a:latin typeface="游ゴシック" panose="020B0400000000000000" pitchFamily="50" charset="-128"/>
              <a:ea typeface="游ゴシック" panose="020B0400000000000000" pitchFamily="50" charset="-128"/>
            </a:rPr>
            <a:t>であることを確認する。　</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5</a:t>
          </a:r>
          <a:r>
            <a:rPr kumimoji="1" lang="ja-JP" altLang="en-US" sz="1050">
              <a:solidFill>
                <a:srgbClr val="FF0000"/>
              </a:solidFill>
              <a:latin typeface="游ゴシック" panose="020B0400000000000000" pitchFamily="50" charset="-128"/>
              <a:ea typeface="游ゴシック" panose="020B0400000000000000" pitchFamily="50" charset="-128"/>
            </a:rPr>
            <a:t>）「⑫備考欄」に「最大人数○○人、１実験あたり○○円を支給」と記入する。</a:t>
          </a:r>
        </a:p>
        <a:p>
          <a:endParaRPr kumimoji="1" lang="ja-JP" altLang="en-US" sz="1050">
            <a:solidFill>
              <a:srgbClr val="FF0000"/>
            </a:solidFill>
            <a:latin typeface="游ゴシック" panose="020B0400000000000000" pitchFamily="50" charset="-128"/>
            <a:ea typeface="游ゴシック" panose="020B0400000000000000" pitchFamily="50" charset="-128"/>
          </a:endParaRPr>
        </a:p>
        <a:p>
          <a:r>
            <a:rPr kumimoji="1" lang="ja-JP" altLang="en-US" sz="1050" b="1">
              <a:solidFill>
                <a:srgbClr val="FF0000"/>
              </a:solidFill>
              <a:latin typeface="游ゴシック" panose="020B0400000000000000" pitchFamily="50" charset="-128"/>
              <a:ea typeface="游ゴシック" panose="020B0400000000000000" pitchFamily="50" charset="-128"/>
            </a:rPr>
            <a:t>③筑波大学謝金単価を超えて支給する場合</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1</a:t>
          </a:r>
          <a:r>
            <a:rPr kumimoji="1" lang="ja-JP" altLang="en-US" sz="1050">
              <a:solidFill>
                <a:srgbClr val="FF0000"/>
              </a:solidFill>
              <a:latin typeface="游ゴシック" panose="020B0400000000000000" pitchFamily="50" charset="-128"/>
              <a:ea typeface="游ゴシック" panose="020B0400000000000000" pitchFamily="50" charset="-128"/>
            </a:rPr>
            <a:t>）倫理審査承認後に、</a:t>
          </a:r>
          <a:r>
            <a:rPr kumimoji="1" lang="ja-JP" altLang="en-US" sz="1050" u="sng">
              <a:solidFill>
                <a:srgbClr val="FF0000"/>
              </a:solidFill>
              <a:latin typeface="游ゴシック" panose="020B0400000000000000" pitchFamily="50" charset="-128"/>
              <a:ea typeface="游ゴシック" panose="020B0400000000000000" pitchFamily="50" charset="-128"/>
            </a:rPr>
            <a:t>謝金単価協議</a:t>
          </a:r>
          <a:r>
            <a:rPr kumimoji="1" lang="ja-JP" altLang="en-US" sz="1050">
              <a:solidFill>
                <a:srgbClr val="FF0000"/>
              </a:solidFill>
              <a:latin typeface="游ゴシック" panose="020B0400000000000000" pitchFamily="50" charset="-128"/>
              <a:ea typeface="游ゴシック" panose="020B0400000000000000" pitchFamily="50" charset="-128"/>
            </a:rPr>
            <a:t>が必要になります。</a:t>
          </a:r>
        </a:p>
        <a:p>
          <a:r>
            <a:rPr kumimoji="1" lang="ja-JP" altLang="en-US" sz="1050">
              <a:solidFill>
                <a:srgbClr val="FF0000"/>
              </a:solidFill>
              <a:latin typeface="游ゴシック" panose="020B0400000000000000" pitchFamily="50" charset="-128"/>
              <a:ea typeface="游ゴシック" panose="020B0400000000000000" pitchFamily="50" charset="-128"/>
            </a:rPr>
            <a:t>（</a:t>
          </a:r>
          <a:r>
            <a:rPr kumimoji="1" lang="en-US" altLang="ja-JP" sz="1050">
              <a:solidFill>
                <a:srgbClr val="FF0000"/>
              </a:solidFill>
              <a:latin typeface="游ゴシック" panose="020B0400000000000000" pitchFamily="50" charset="-128"/>
              <a:ea typeface="游ゴシック" panose="020B0400000000000000" pitchFamily="50" charset="-128"/>
            </a:rPr>
            <a:t>2</a:t>
          </a:r>
          <a:r>
            <a:rPr kumimoji="1" lang="ja-JP" altLang="en-US" sz="1050">
              <a:solidFill>
                <a:srgbClr val="FF0000"/>
              </a:solidFill>
              <a:latin typeface="游ゴシック" panose="020B0400000000000000" pitchFamily="50" charset="-128"/>
              <a:ea typeface="游ゴシック" panose="020B0400000000000000" pitchFamily="50" charset="-128"/>
            </a:rPr>
            <a:t>）謝金単価協議承認後、「⑫備考欄」に「単価協議承認済み」と記入する。</a:t>
          </a:r>
        </a:p>
        <a:p>
          <a:endParaRPr kumimoji="1" lang="ja-JP" altLang="en-US" sz="11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19</xdr:row>
          <xdr:rowOff>38100</xdr:rowOff>
        </xdr:from>
        <xdr:to>
          <xdr:col>10</xdr:col>
          <xdr:colOff>0</xdr:colOff>
          <xdr:row>19</xdr:row>
          <xdr:rowOff>276225</xdr:rowOff>
        </xdr:to>
        <xdr:sp macro="" textlink="">
          <xdr:nvSpPr>
            <xdr:cNvPr id="32769" name="Option Button 1"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38100</xdr:rowOff>
        </xdr:from>
        <xdr:to>
          <xdr:col>17</xdr:col>
          <xdr:colOff>0</xdr:colOff>
          <xdr:row>19</xdr:row>
          <xdr:rowOff>276225</xdr:rowOff>
        </xdr:to>
        <xdr:sp macro="" textlink="">
          <xdr:nvSpPr>
            <xdr:cNvPr id="32770" name="Option Button 2"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19</xdr:row>
          <xdr:rowOff>38100</xdr:rowOff>
        </xdr:from>
        <xdr:to>
          <xdr:col>24</xdr:col>
          <xdr:colOff>0</xdr:colOff>
          <xdr:row>19</xdr:row>
          <xdr:rowOff>276225</xdr:rowOff>
        </xdr:to>
        <xdr:sp macro="" textlink="">
          <xdr:nvSpPr>
            <xdr:cNvPr id="32771" name="Option Button 3" hidden="1">
              <a:extLst>
                <a:ext uri="{63B3BB69-23CF-44E3-9099-C40C66FF867C}">
                  <a14:compatExt spid="_x0000_s32771"/>
                </a:ext>
                <a:ext uri="{FF2B5EF4-FFF2-40B4-BE49-F238E27FC236}">
                  <a16:creationId xmlns:a16="http://schemas.microsoft.com/office/drawing/2014/main" id="{00000000-0008-0000-03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19050</xdr:rowOff>
        </xdr:from>
        <xdr:to>
          <xdr:col>10</xdr:col>
          <xdr:colOff>0</xdr:colOff>
          <xdr:row>28</xdr:row>
          <xdr:rowOff>257175</xdr:rowOff>
        </xdr:to>
        <xdr:sp macro="" textlink="">
          <xdr:nvSpPr>
            <xdr:cNvPr id="32772" name="Option Button 4" hidden="1">
              <a:extLst>
                <a:ext uri="{63B3BB69-23CF-44E3-9099-C40C66FF867C}">
                  <a14:compatExt spid="_x0000_s32772"/>
                </a:ext>
                <a:ext uri="{FF2B5EF4-FFF2-40B4-BE49-F238E27FC236}">
                  <a16:creationId xmlns:a16="http://schemas.microsoft.com/office/drawing/2014/main" id="{00000000-0008-0000-03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xdr:row>
          <xdr:rowOff>19050</xdr:rowOff>
        </xdr:from>
        <xdr:to>
          <xdr:col>17</xdr:col>
          <xdr:colOff>0</xdr:colOff>
          <xdr:row>28</xdr:row>
          <xdr:rowOff>257175</xdr:rowOff>
        </xdr:to>
        <xdr:sp macro="" textlink="">
          <xdr:nvSpPr>
            <xdr:cNvPr id="32773" name="Option Button 5" hidden="1">
              <a:extLst>
                <a:ext uri="{63B3BB69-23CF-44E3-9099-C40C66FF867C}">
                  <a14:compatExt spid="_x0000_s32773"/>
                </a:ext>
                <a:ext uri="{FF2B5EF4-FFF2-40B4-BE49-F238E27FC236}">
                  <a16:creationId xmlns:a16="http://schemas.microsoft.com/office/drawing/2014/main" id="{00000000-0008-0000-03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28</xdr:row>
          <xdr:rowOff>19050</xdr:rowOff>
        </xdr:from>
        <xdr:to>
          <xdr:col>24</xdr:col>
          <xdr:colOff>0</xdr:colOff>
          <xdr:row>28</xdr:row>
          <xdr:rowOff>257175</xdr:rowOff>
        </xdr:to>
        <xdr:sp macro="" textlink="">
          <xdr:nvSpPr>
            <xdr:cNvPr id="32774" name="Option Button 6" hidden="1">
              <a:extLst>
                <a:ext uri="{63B3BB69-23CF-44E3-9099-C40C66FF867C}">
                  <a14:compatExt spid="_x0000_s32774"/>
                </a:ext>
                <a:ext uri="{FF2B5EF4-FFF2-40B4-BE49-F238E27FC236}">
                  <a16:creationId xmlns:a16="http://schemas.microsoft.com/office/drawing/2014/main" id="{00000000-0008-0000-03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11</xdr:row>
          <xdr:rowOff>19050</xdr:rowOff>
        </xdr:from>
        <xdr:to>
          <xdr:col>7</xdr:col>
          <xdr:colOff>104775</xdr:colOff>
          <xdr:row>12</xdr:row>
          <xdr:rowOff>0</xdr:rowOff>
        </xdr:to>
        <xdr:sp macro="" textlink="">
          <xdr:nvSpPr>
            <xdr:cNvPr id="32775" name="Option Button 7" hidden="1">
              <a:extLst>
                <a:ext uri="{63B3BB69-23CF-44E3-9099-C40C66FF867C}">
                  <a14:compatExt spid="_x0000_s32775"/>
                </a:ext>
                <a:ext uri="{FF2B5EF4-FFF2-40B4-BE49-F238E27FC236}">
                  <a16:creationId xmlns:a16="http://schemas.microsoft.com/office/drawing/2014/main" id="{00000000-0008-0000-03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xdr:row>
          <xdr:rowOff>19050</xdr:rowOff>
        </xdr:from>
        <xdr:to>
          <xdr:col>13</xdr:col>
          <xdr:colOff>104775</xdr:colOff>
          <xdr:row>12</xdr:row>
          <xdr:rowOff>0</xdr:rowOff>
        </xdr:to>
        <xdr:sp macro="" textlink="">
          <xdr:nvSpPr>
            <xdr:cNvPr id="32776" name="Option Button 8" hidden="1">
              <a:extLst>
                <a:ext uri="{63B3BB69-23CF-44E3-9099-C40C66FF867C}">
                  <a14:compatExt spid="_x0000_s32776"/>
                </a:ext>
                <a:ext uri="{FF2B5EF4-FFF2-40B4-BE49-F238E27FC236}">
                  <a16:creationId xmlns:a16="http://schemas.microsoft.com/office/drawing/2014/main" id="{00000000-0008-0000-0300-00000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11</xdr:row>
          <xdr:rowOff>9525</xdr:rowOff>
        </xdr:from>
        <xdr:to>
          <xdr:col>16</xdr:col>
          <xdr:colOff>9525</xdr:colOff>
          <xdr:row>12</xdr:row>
          <xdr:rowOff>38100</xdr:rowOff>
        </xdr:to>
        <xdr:sp macro="" textlink="">
          <xdr:nvSpPr>
            <xdr:cNvPr id="32777" name="Group Box 9" hidden="1">
              <a:extLst>
                <a:ext uri="{63B3BB69-23CF-44E3-9099-C40C66FF867C}">
                  <a14:compatExt spid="_x0000_s32777"/>
                </a:ext>
                <a:ext uri="{FF2B5EF4-FFF2-40B4-BE49-F238E27FC236}">
                  <a16:creationId xmlns:a16="http://schemas.microsoft.com/office/drawing/2014/main" id="{00000000-0008-0000-0300-000009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19</xdr:row>
          <xdr:rowOff>19050</xdr:rowOff>
        </xdr:from>
        <xdr:to>
          <xdr:col>24</xdr:col>
          <xdr:colOff>133350</xdr:colOff>
          <xdr:row>19</xdr:row>
          <xdr:rowOff>304800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3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19</xdr:row>
          <xdr:rowOff>285750</xdr:rowOff>
        </xdr:from>
        <xdr:to>
          <xdr:col>37</xdr:col>
          <xdr:colOff>247650</xdr:colOff>
          <xdr:row>24</xdr:row>
          <xdr:rowOff>152400</xdr:rowOff>
        </xdr:to>
        <xdr:sp macro="" textlink="">
          <xdr:nvSpPr>
            <xdr:cNvPr id="32779" name="Group Box 11" hidden="1">
              <a:extLst>
                <a:ext uri="{63B3BB69-23CF-44E3-9099-C40C66FF867C}">
                  <a14:compatExt spid="_x0000_s32779"/>
                </a:ext>
                <a:ext uri="{FF2B5EF4-FFF2-40B4-BE49-F238E27FC236}">
                  <a16:creationId xmlns:a16="http://schemas.microsoft.com/office/drawing/2014/main" id="{00000000-0008-0000-0300-00000B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19050</xdr:rowOff>
        </xdr:from>
        <xdr:to>
          <xdr:col>8</xdr:col>
          <xdr:colOff>114300</xdr:colOff>
          <xdr:row>21</xdr:row>
          <xdr:rowOff>38100</xdr:rowOff>
        </xdr:to>
        <xdr:sp macro="" textlink="">
          <xdr:nvSpPr>
            <xdr:cNvPr id="32780" name="Option Button 12" hidden="1">
              <a:extLst>
                <a:ext uri="{63B3BB69-23CF-44E3-9099-C40C66FF867C}">
                  <a14:compatExt spid="_x0000_s32780"/>
                </a:ext>
                <a:ext uri="{FF2B5EF4-FFF2-40B4-BE49-F238E27FC236}">
                  <a16:creationId xmlns:a16="http://schemas.microsoft.com/office/drawing/2014/main" id="{00000000-0008-0000-0300-00000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19050</xdr:rowOff>
        </xdr:from>
        <xdr:to>
          <xdr:col>12</xdr:col>
          <xdr:colOff>114300</xdr:colOff>
          <xdr:row>21</xdr:row>
          <xdr:rowOff>38100</xdr:rowOff>
        </xdr:to>
        <xdr:sp macro="" textlink="">
          <xdr:nvSpPr>
            <xdr:cNvPr id="32781" name="Option Button 13" hidden="1">
              <a:extLst>
                <a:ext uri="{63B3BB69-23CF-44E3-9099-C40C66FF867C}">
                  <a14:compatExt spid="_x0000_s32781"/>
                </a:ext>
                <a:ext uri="{FF2B5EF4-FFF2-40B4-BE49-F238E27FC236}">
                  <a16:creationId xmlns:a16="http://schemas.microsoft.com/office/drawing/2014/main" id="{00000000-0008-0000-0300-00000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27</xdr:row>
          <xdr:rowOff>190500</xdr:rowOff>
        </xdr:from>
        <xdr:to>
          <xdr:col>25</xdr:col>
          <xdr:colOff>190500</xdr:colOff>
          <xdr:row>29</xdr:row>
          <xdr:rowOff>19050</xdr:rowOff>
        </xdr:to>
        <xdr:sp macro="" textlink="">
          <xdr:nvSpPr>
            <xdr:cNvPr id="32782" name="Group Box 14" hidden="1">
              <a:extLst>
                <a:ext uri="{63B3BB69-23CF-44E3-9099-C40C66FF867C}">
                  <a14:compatExt spid="_x0000_s32782"/>
                </a:ext>
                <a:ext uri="{FF2B5EF4-FFF2-40B4-BE49-F238E27FC236}">
                  <a16:creationId xmlns:a16="http://schemas.microsoft.com/office/drawing/2014/main" id="{00000000-0008-0000-0300-00000E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30</xdr:row>
          <xdr:rowOff>0</xdr:rowOff>
        </xdr:from>
        <xdr:to>
          <xdr:col>8</xdr:col>
          <xdr:colOff>114300</xdr:colOff>
          <xdr:row>31</xdr:row>
          <xdr:rowOff>9525</xdr:rowOff>
        </xdr:to>
        <xdr:sp macro="" textlink="">
          <xdr:nvSpPr>
            <xdr:cNvPr id="32783" name="Option Button 15" hidden="1">
              <a:extLst>
                <a:ext uri="{63B3BB69-23CF-44E3-9099-C40C66FF867C}">
                  <a14:compatExt spid="_x0000_s32783"/>
                </a:ext>
                <a:ext uri="{FF2B5EF4-FFF2-40B4-BE49-F238E27FC236}">
                  <a16:creationId xmlns:a16="http://schemas.microsoft.com/office/drawing/2014/main" id="{00000000-0008-0000-03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29</xdr:row>
          <xdr:rowOff>0</xdr:rowOff>
        </xdr:from>
        <xdr:to>
          <xdr:col>9</xdr:col>
          <xdr:colOff>114300</xdr:colOff>
          <xdr:row>31</xdr:row>
          <xdr:rowOff>19050</xdr:rowOff>
        </xdr:to>
        <xdr:sp macro="" textlink="">
          <xdr:nvSpPr>
            <xdr:cNvPr id="32784" name="Group Box 16" hidden="1">
              <a:extLst>
                <a:ext uri="{63B3BB69-23CF-44E3-9099-C40C66FF867C}">
                  <a14:compatExt spid="_x0000_s32784"/>
                </a:ext>
                <a:ext uri="{FF2B5EF4-FFF2-40B4-BE49-F238E27FC236}">
                  <a16:creationId xmlns:a16="http://schemas.microsoft.com/office/drawing/2014/main" id="{00000000-0008-0000-0300-000010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9525</xdr:rowOff>
        </xdr:from>
        <xdr:to>
          <xdr:col>8</xdr:col>
          <xdr:colOff>114300</xdr:colOff>
          <xdr:row>30</xdr:row>
          <xdr:rowOff>19050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3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31</xdr:row>
          <xdr:rowOff>19050</xdr:rowOff>
        </xdr:from>
        <xdr:to>
          <xdr:col>7</xdr:col>
          <xdr:colOff>104775</xdr:colOff>
          <xdr:row>31</xdr:row>
          <xdr:rowOff>266700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3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31</xdr:row>
          <xdr:rowOff>19050</xdr:rowOff>
        </xdr:from>
        <xdr:to>
          <xdr:col>17</xdr:col>
          <xdr:colOff>104775</xdr:colOff>
          <xdr:row>31</xdr:row>
          <xdr:rowOff>266700</xdr:rowOff>
        </xdr:to>
        <xdr:sp macro="" textlink="">
          <xdr:nvSpPr>
            <xdr:cNvPr id="32787" name="Option Button 19" hidden="1">
              <a:extLst>
                <a:ext uri="{63B3BB69-23CF-44E3-9099-C40C66FF867C}">
                  <a14:compatExt spid="_x0000_s32787"/>
                </a:ext>
                <a:ext uri="{FF2B5EF4-FFF2-40B4-BE49-F238E27FC236}">
                  <a16:creationId xmlns:a16="http://schemas.microsoft.com/office/drawing/2014/main" id="{00000000-0008-0000-0300-00001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31</xdr:row>
          <xdr:rowOff>19050</xdr:rowOff>
        </xdr:from>
        <xdr:to>
          <xdr:col>23</xdr:col>
          <xdr:colOff>104775</xdr:colOff>
          <xdr:row>31</xdr:row>
          <xdr:rowOff>266700</xdr:rowOff>
        </xdr:to>
        <xdr:sp macro="" textlink="">
          <xdr:nvSpPr>
            <xdr:cNvPr id="32788" name="Option Button 20" hidden="1">
              <a:extLst>
                <a:ext uri="{63B3BB69-23CF-44E3-9099-C40C66FF867C}">
                  <a14:compatExt spid="_x0000_s32788"/>
                </a:ext>
                <a:ext uri="{FF2B5EF4-FFF2-40B4-BE49-F238E27FC236}">
                  <a16:creationId xmlns:a16="http://schemas.microsoft.com/office/drawing/2014/main" id="{00000000-0008-0000-0300-00001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31</xdr:row>
          <xdr:rowOff>9525</xdr:rowOff>
        </xdr:from>
        <xdr:to>
          <xdr:col>28</xdr:col>
          <xdr:colOff>142875</xdr:colOff>
          <xdr:row>32</xdr:row>
          <xdr:rowOff>0</xdr:rowOff>
        </xdr:to>
        <xdr:sp macro="" textlink="">
          <xdr:nvSpPr>
            <xdr:cNvPr id="32789" name="Group Box 21" hidden="1">
              <a:extLst>
                <a:ext uri="{63B3BB69-23CF-44E3-9099-C40C66FF867C}">
                  <a14:compatExt spid="_x0000_s32789"/>
                </a:ext>
                <a:ext uri="{FF2B5EF4-FFF2-40B4-BE49-F238E27FC236}">
                  <a16:creationId xmlns:a16="http://schemas.microsoft.com/office/drawing/2014/main" id="{00000000-0008-0000-0300-000015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31</xdr:row>
          <xdr:rowOff>28575</xdr:rowOff>
        </xdr:from>
        <xdr:to>
          <xdr:col>11</xdr:col>
          <xdr:colOff>104775</xdr:colOff>
          <xdr:row>31</xdr:row>
          <xdr:rowOff>276225</xdr:rowOff>
        </xdr:to>
        <xdr:sp macro="" textlink="">
          <xdr:nvSpPr>
            <xdr:cNvPr id="32790" name="Check Box 22" hidden="1">
              <a:extLst>
                <a:ext uri="{63B3BB69-23CF-44E3-9099-C40C66FF867C}">
                  <a14:compatExt spid="_x0000_s32790"/>
                </a:ext>
                <a:ext uri="{FF2B5EF4-FFF2-40B4-BE49-F238E27FC236}">
                  <a16:creationId xmlns:a16="http://schemas.microsoft.com/office/drawing/2014/main" id="{00000000-0008-0000-0300-00001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28575</xdr:rowOff>
        </xdr:from>
        <xdr:to>
          <xdr:col>7</xdr:col>
          <xdr:colOff>38100</xdr:colOff>
          <xdr:row>33</xdr:row>
          <xdr:rowOff>276225</xdr:rowOff>
        </xdr:to>
        <xdr:sp macro="" textlink="">
          <xdr:nvSpPr>
            <xdr:cNvPr id="32791" name="Option Button 23" hidden="1">
              <a:extLst>
                <a:ext uri="{63B3BB69-23CF-44E3-9099-C40C66FF867C}">
                  <a14:compatExt spid="_x0000_s32791"/>
                </a:ext>
                <a:ext uri="{FF2B5EF4-FFF2-40B4-BE49-F238E27FC236}">
                  <a16:creationId xmlns:a16="http://schemas.microsoft.com/office/drawing/2014/main" id="{00000000-0008-0000-0300-00001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xdr:row>
          <xdr:rowOff>28575</xdr:rowOff>
        </xdr:from>
        <xdr:to>
          <xdr:col>10</xdr:col>
          <xdr:colOff>38100</xdr:colOff>
          <xdr:row>33</xdr:row>
          <xdr:rowOff>276225</xdr:rowOff>
        </xdr:to>
        <xdr:sp macro="" textlink="">
          <xdr:nvSpPr>
            <xdr:cNvPr id="32792" name="Option Button 24" hidden="1">
              <a:extLst>
                <a:ext uri="{63B3BB69-23CF-44E3-9099-C40C66FF867C}">
                  <a14:compatExt spid="_x0000_s32792"/>
                </a:ext>
                <a:ext uri="{FF2B5EF4-FFF2-40B4-BE49-F238E27FC236}">
                  <a16:creationId xmlns:a16="http://schemas.microsoft.com/office/drawing/2014/main" id="{00000000-0008-0000-0300-00001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32</xdr:row>
          <xdr:rowOff>190500</xdr:rowOff>
        </xdr:from>
        <xdr:to>
          <xdr:col>12</xdr:col>
          <xdr:colOff>85725</xdr:colOff>
          <xdr:row>34</xdr:row>
          <xdr:rowOff>76200</xdr:rowOff>
        </xdr:to>
        <xdr:sp macro="" textlink="">
          <xdr:nvSpPr>
            <xdr:cNvPr id="32793" name="Group Box 25" hidden="1">
              <a:extLst>
                <a:ext uri="{63B3BB69-23CF-44E3-9099-C40C66FF867C}">
                  <a14:compatExt spid="_x0000_s32793"/>
                </a:ext>
                <a:ext uri="{FF2B5EF4-FFF2-40B4-BE49-F238E27FC236}">
                  <a16:creationId xmlns:a16="http://schemas.microsoft.com/office/drawing/2014/main" id="{00000000-0008-0000-0300-000019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20</xdr:row>
          <xdr:rowOff>19050</xdr:rowOff>
        </xdr:from>
        <xdr:to>
          <xdr:col>18</xdr:col>
          <xdr:colOff>114300</xdr:colOff>
          <xdr:row>21</xdr:row>
          <xdr:rowOff>38100</xdr:rowOff>
        </xdr:to>
        <xdr:sp macro="" textlink="">
          <xdr:nvSpPr>
            <xdr:cNvPr id="32794" name="Option Button 26" hidden="1">
              <a:extLst>
                <a:ext uri="{63B3BB69-23CF-44E3-9099-C40C66FF867C}">
                  <a14:compatExt spid="_x0000_s32794"/>
                </a:ext>
                <a:ext uri="{FF2B5EF4-FFF2-40B4-BE49-F238E27FC236}">
                  <a16:creationId xmlns:a16="http://schemas.microsoft.com/office/drawing/2014/main" id="{00000000-0008-0000-0300-00001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20</xdr:row>
          <xdr:rowOff>19050</xdr:rowOff>
        </xdr:from>
        <xdr:to>
          <xdr:col>22</xdr:col>
          <xdr:colOff>114300</xdr:colOff>
          <xdr:row>21</xdr:row>
          <xdr:rowOff>38100</xdr:rowOff>
        </xdr:to>
        <xdr:sp macro="" textlink="">
          <xdr:nvSpPr>
            <xdr:cNvPr id="32795" name="Option Button 27" hidden="1">
              <a:extLst>
                <a:ext uri="{63B3BB69-23CF-44E3-9099-C40C66FF867C}">
                  <a14:compatExt spid="_x0000_s32795"/>
                </a:ext>
                <a:ext uri="{FF2B5EF4-FFF2-40B4-BE49-F238E27FC236}">
                  <a16:creationId xmlns:a16="http://schemas.microsoft.com/office/drawing/2014/main" id="{00000000-0008-0000-0300-00001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20</xdr:row>
          <xdr:rowOff>19050</xdr:rowOff>
        </xdr:from>
        <xdr:to>
          <xdr:col>26</xdr:col>
          <xdr:colOff>114300</xdr:colOff>
          <xdr:row>21</xdr:row>
          <xdr:rowOff>38100</xdr:rowOff>
        </xdr:to>
        <xdr:sp macro="" textlink="">
          <xdr:nvSpPr>
            <xdr:cNvPr id="32796" name="Option Button 28" hidden="1">
              <a:extLst>
                <a:ext uri="{63B3BB69-23CF-44E3-9099-C40C66FF867C}">
                  <a14:compatExt spid="_x0000_s32796"/>
                </a:ext>
                <a:ext uri="{FF2B5EF4-FFF2-40B4-BE49-F238E27FC236}">
                  <a16:creationId xmlns:a16="http://schemas.microsoft.com/office/drawing/2014/main" id="{00000000-0008-0000-0300-00001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xdr:row>
          <xdr:rowOff>19050</xdr:rowOff>
        </xdr:from>
        <xdr:to>
          <xdr:col>30</xdr:col>
          <xdr:colOff>114300</xdr:colOff>
          <xdr:row>21</xdr:row>
          <xdr:rowOff>38100</xdr:rowOff>
        </xdr:to>
        <xdr:sp macro="" textlink="">
          <xdr:nvSpPr>
            <xdr:cNvPr id="32797" name="Option Button 29" hidden="1">
              <a:extLst>
                <a:ext uri="{63B3BB69-23CF-44E3-9099-C40C66FF867C}">
                  <a14:compatExt spid="_x0000_s32797"/>
                </a:ext>
                <a:ext uri="{FF2B5EF4-FFF2-40B4-BE49-F238E27FC236}">
                  <a16:creationId xmlns:a16="http://schemas.microsoft.com/office/drawing/2014/main" id="{00000000-0008-0000-0300-00001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20</xdr:row>
          <xdr:rowOff>19050</xdr:rowOff>
        </xdr:from>
        <xdr:to>
          <xdr:col>34</xdr:col>
          <xdr:colOff>114300</xdr:colOff>
          <xdr:row>21</xdr:row>
          <xdr:rowOff>38100</xdr:rowOff>
        </xdr:to>
        <xdr:sp macro="" textlink="">
          <xdr:nvSpPr>
            <xdr:cNvPr id="32798" name="Option Button 30" hidden="1">
              <a:extLst>
                <a:ext uri="{63B3BB69-23CF-44E3-9099-C40C66FF867C}">
                  <a14:compatExt spid="_x0000_s32798"/>
                </a:ext>
                <a:ext uri="{FF2B5EF4-FFF2-40B4-BE49-F238E27FC236}">
                  <a16:creationId xmlns:a16="http://schemas.microsoft.com/office/drawing/2014/main" id="{00000000-0008-0000-0300-00001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19050</xdr:rowOff>
        </xdr:from>
        <xdr:to>
          <xdr:col>8</xdr:col>
          <xdr:colOff>114300</xdr:colOff>
          <xdr:row>22</xdr:row>
          <xdr:rowOff>38100</xdr:rowOff>
        </xdr:to>
        <xdr:sp macro="" textlink="">
          <xdr:nvSpPr>
            <xdr:cNvPr id="32799" name="Option Button 31" hidden="1">
              <a:extLst>
                <a:ext uri="{63B3BB69-23CF-44E3-9099-C40C66FF867C}">
                  <a14:compatExt spid="_x0000_s32799"/>
                </a:ext>
                <a:ext uri="{FF2B5EF4-FFF2-40B4-BE49-F238E27FC236}">
                  <a16:creationId xmlns:a16="http://schemas.microsoft.com/office/drawing/2014/main" id="{00000000-0008-0000-0300-00001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21</xdr:row>
          <xdr:rowOff>19050</xdr:rowOff>
        </xdr:from>
        <xdr:to>
          <xdr:col>13</xdr:col>
          <xdr:colOff>114300</xdr:colOff>
          <xdr:row>22</xdr:row>
          <xdr:rowOff>38100</xdr:rowOff>
        </xdr:to>
        <xdr:sp macro="" textlink="">
          <xdr:nvSpPr>
            <xdr:cNvPr id="32800" name="Option Button 32" hidden="1">
              <a:extLst>
                <a:ext uri="{63B3BB69-23CF-44E3-9099-C40C66FF867C}">
                  <a14:compatExt spid="_x0000_s32800"/>
                </a:ext>
                <a:ext uri="{FF2B5EF4-FFF2-40B4-BE49-F238E27FC236}">
                  <a16:creationId xmlns:a16="http://schemas.microsoft.com/office/drawing/2014/main" id="{00000000-0008-0000-0300-00002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19050</xdr:rowOff>
        </xdr:from>
        <xdr:to>
          <xdr:col>8</xdr:col>
          <xdr:colOff>114300</xdr:colOff>
          <xdr:row>23</xdr:row>
          <xdr:rowOff>38100</xdr:rowOff>
        </xdr:to>
        <xdr:sp macro="" textlink="">
          <xdr:nvSpPr>
            <xdr:cNvPr id="32801" name="Option Button 33" hidden="1">
              <a:extLst>
                <a:ext uri="{63B3BB69-23CF-44E3-9099-C40C66FF867C}">
                  <a14:compatExt spid="_x0000_s32801"/>
                </a:ext>
                <a:ext uri="{FF2B5EF4-FFF2-40B4-BE49-F238E27FC236}">
                  <a16:creationId xmlns:a16="http://schemas.microsoft.com/office/drawing/2014/main" id="{00000000-0008-0000-0300-00002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22</xdr:row>
          <xdr:rowOff>19050</xdr:rowOff>
        </xdr:from>
        <xdr:to>
          <xdr:col>14</xdr:col>
          <xdr:colOff>114300</xdr:colOff>
          <xdr:row>23</xdr:row>
          <xdr:rowOff>38100</xdr:rowOff>
        </xdr:to>
        <xdr:sp macro="" textlink="">
          <xdr:nvSpPr>
            <xdr:cNvPr id="32802" name="Option Button 34" hidden="1">
              <a:extLst>
                <a:ext uri="{63B3BB69-23CF-44E3-9099-C40C66FF867C}">
                  <a14:compatExt spid="_x0000_s32802"/>
                </a:ext>
                <a:ext uri="{FF2B5EF4-FFF2-40B4-BE49-F238E27FC236}">
                  <a16:creationId xmlns:a16="http://schemas.microsoft.com/office/drawing/2014/main" id="{00000000-0008-0000-0300-00002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22</xdr:row>
          <xdr:rowOff>19050</xdr:rowOff>
        </xdr:from>
        <xdr:to>
          <xdr:col>20</xdr:col>
          <xdr:colOff>114300</xdr:colOff>
          <xdr:row>23</xdr:row>
          <xdr:rowOff>38100</xdr:rowOff>
        </xdr:to>
        <xdr:sp macro="" textlink="">
          <xdr:nvSpPr>
            <xdr:cNvPr id="32803" name="Option Button 35" hidden="1">
              <a:extLst>
                <a:ext uri="{63B3BB69-23CF-44E3-9099-C40C66FF867C}">
                  <a14:compatExt spid="_x0000_s32803"/>
                </a:ext>
                <a:ext uri="{FF2B5EF4-FFF2-40B4-BE49-F238E27FC236}">
                  <a16:creationId xmlns:a16="http://schemas.microsoft.com/office/drawing/2014/main" id="{00000000-0008-0000-0300-00002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22</xdr:row>
          <xdr:rowOff>19050</xdr:rowOff>
        </xdr:from>
        <xdr:to>
          <xdr:col>27</xdr:col>
          <xdr:colOff>114300</xdr:colOff>
          <xdr:row>23</xdr:row>
          <xdr:rowOff>38100</xdr:rowOff>
        </xdr:to>
        <xdr:sp macro="" textlink="">
          <xdr:nvSpPr>
            <xdr:cNvPr id="32804" name="Option Button 36" hidden="1">
              <a:extLst>
                <a:ext uri="{63B3BB69-23CF-44E3-9099-C40C66FF867C}">
                  <a14:compatExt spid="_x0000_s32804"/>
                </a:ext>
                <a:ext uri="{FF2B5EF4-FFF2-40B4-BE49-F238E27FC236}">
                  <a16:creationId xmlns:a16="http://schemas.microsoft.com/office/drawing/2014/main" id="{00000000-0008-0000-0300-00002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22</xdr:row>
          <xdr:rowOff>19050</xdr:rowOff>
        </xdr:from>
        <xdr:to>
          <xdr:col>33</xdr:col>
          <xdr:colOff>104775</xdr:colOff>
          <xdr:row>23</xdr:row>
          <xdr:rowOff>38100</xdr:rowOff>
        </xdr:to>
        <xdr:sp macro="" textlink="">
          <xdr:nvSpPr>
            <xdr:cNvPr id="32805" name="Option Button 37" hidden="1">
              <a:extLst>
                <a:ext uri="{63B3BB69-23CF-44E3-9099-C40C66FF867C}">
                  <a14:compatExt spid="_x0000_s32805"/>
                </a:ext>
                <a:ext uri="{FF2B5EF4-FFF2-40B4-BE49-F238E27FC236}">
                  <a16:creationId xmlns:a16="http://schemas.microsoft.com/office/drawing/2014/main" id="{00000000-0008-0000-0300-00002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19050</xdr:rowOff>
        </xdr:from>
        <xdr:to>
          <xdr:col>8</xdr:col>
          <xdr:colOff>114300</xdr:colOff>
          <xdr:row>24</xdr:row>
          <xdr:rowOff>38100</xdr:rowOff>
        </xdr:to>
        <xdr:sp macro="" textlink="">
          <xdr:nvSpPr>
            <xdr:cNvPr id="32806" name="Option Button 38" hidden="1">
              <a:extLst>
                <a:ext uri="{63B3BB69-23CF-44E3-9099-C40C66FF867C}">
                  <a14:compatExt spid="_x0000_s32806"/>
                </a:ext>
                <a:ext uri="{FF2B5EF4-FFF2-40B4-BE49-F238E27FC236}">
                  <a16:creationId xmlns:a16="http://schemas.microsoft.com/office/drawing/2014/main" id="{00000000-0008-0000-0300-00002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19050</xdr:rowOff>
        </xdr:from>
        <xdr:to>
          <xdr:col>13</xdr:col>
          <xdr:colOff>114300</xdr:colOff>
          <xdr:row>24</xdr:row>
          <xdr:rowOff>38100</xdr:rowOff>
        </xdr:to>
        <xdr:sp macro="" textlink="">
          <xdr:nvSpPr>
            <xdr:cNvPr id="32807" name="Option Button 39" hidden="1">
              <a:extLst>
                <a:ext uri="{63B3BB69-23CF-44E3-9099-C40C66FF867C}">
                  <a14:compatExt spid="_x0000_s32807"/>
                </a:ext>
                <a:ext uri="{FF2B5EF4-FFF2-40B4-BE49-F238E27FC236}">
                  <a16:creationId xmlns:a16="http://schemas.microsoft.com/office/drawing/2014/main" id="{00000000-0008-0000-0300-00002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23</xdr:row>
          <xdr:rowOff>19050</xdr:rowOff>
        </xdr:from>
        <xdr:to>
          <xdr:col>18</xdr:col>
          <xdr:colOff>114300</xdr:colOff>
          <xdr:row>24</xdr:row>
          <xdr:rowOff>38100</xdr:rowOff>
        </xdr:to>
        <xdr:sp macro="" textlink="">
          <xdr:nvSpPr>
            <xdr:cNvPr id="32808" name="Option Button 40" hidden="1">
              <a:extLst>
                <a:ext uri="{63B3BB69-23CF-44E3-9099-C40C66FF867C}">
                  <a14:compatExt spid="_x0000_s32808"/>
                </a:ext>
                <a:ext uri="{FF2B5EF4-FFF2-40B4-BE49-F238E27FC236}">
                  <a16:creationId xmlns:a16="http://schemas.microsoft.com/office/drawing/2014/main" id="{00000000-0008-0000-0300-00002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25</xdr:row>
          <xdr:rowOff>0</xdr:rowOff>
        </xdr:from>
        <xdr:to>
          <xdr:col>15</xdr:col>
          <xdr:colOff>57150</xdr:colOff>
          <xdr:row>26</xdr:row>
          <xdr:rowOff>9525</xdr:rowOff>
        </xdr:to>
        <xdr:sp macro="" textlink="">
          <xdr:nvSpPr>
            <xdr:cNvPr id="32809" name="Option Button 41" hidden="1">
              <a:extLst>
                <a:ext uri="{63B3BB69-23CF-44E3-9099-C40C66FF867C}">
                  <a14:compatExt spid="_x0000_s32809"/>
                </a:ext>
                <a:ext uri="{FF2B5EF4-FFF2-40B4-BE49-F238E27FC236}">
                  <a16:creationId xmlns:a16="http://schemas.microsoft.com/office/drawing/2014/main" id="{00000000-0008-0000-0300-00002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25</xdr:row>
          <xdr:rowOff>0</xdr:rowOff>
        </xdr:from>
        <xdr:to>
          <xdr:col>18</xdr:col>
          <xdr:colOff>57150</xdr:colOff>
          <xdr:row>26</xdr:row>
          <xdr:rowOff>9525</xdr:rowOff>
        </xdr:to>
        <xdr:sp macro="" textlink="">
          <xdr:nvSpPr>
            <xdr:cNvPr id="32810" name="Option Button 42" hidden="1">
              <a:extLst>
                <a:ext uri="{63B3BB69-23CF-44E3-9099-C40C66FF867C}">
                  <a14:compatExt spid="_x0000_s32810"/>
                </a:ext>
                <a:ext uri="{FF2B5EF4-FFF2-40B4-BE49-F238E27FC236}">
                  <a16:creationId xmlns:a16="http://schemas.microsoft.com/office/drawing/2014/main" id="{00000000-0008-0000-0300-00002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25</xdr:row>
          <xdr:rowOff>0</xdr:rowOff>
        </xdr:from>
        <xdr:to>
          <xdr:col>22</xdr:col>
          <xdr:colOff>57150</xdr:colOff>
          <xdr:row>26</xdr:row>
          <xdr:rowOff>9525</xdr:rowOff>
        </xdr:to>
        <xdr:sp macro="" textlink="">
          <xdr:nvSpPr>
            <xdr:cNvPr id="32811" name="Option Button 43" hidden="1">
              <a:extLst>
                <a:ext uri="{63B3BB69-23CF-44E3-9099-C40C66FF867C}">
                  <a14:compatExt spid="_x0000_s32811"/>
                </a:ext>
                <a:ext uri="{FF2B5EF4-FFF2-40B4-BE49-F238E27FC236}">
                  <a16:creationId xmlns:a16="http://schemas.microsoft.com/office/drawing/2014/main" id="{00000000-0008-0000-0300-00002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25</xdr:row>
          <xdr:rowOff>0</xdr:rowOff>
        </xdr:from>
        <xdr:to>
          <xdr:col>25</xdr:col>
          <xdr:colOff>57150</xdr:colOff>
          <xdr:row>26</xdr:row>
          <xdr:rowOff>9525</xdr:rowOff>
        </xdr:to>
        <xdr:sp macro="" textlink="">
          <xdr:nvSpPr>
            <xdr:cNvPr id="32812" name="Option Button 44" hidden="1">
              <a:extLst>
                <a:ext uri="{63B3BB69-23CF-44E3-9099-C40C66FF867C}">
                  <a14:compatExt spid="_x0000_s32812"/>
                </a:ext>
                <a:ext uri="{FF2B5EF4-FFF2-40B4-BE49-F238E27FC236}">
                  <a16:creationId xmlns:a16="http://schemas.microsoft.com/office/drawing/2014/main" id="{00000000-0008-0000-0300-00002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24</xdr:row>
          <xdr:rowOff>95250</xdr:rowOff>
        </xdr:from>
        <xdr:to>
          <xdr:col>26</xdr:col>
          <xdr:colOff>38100</xdr:colOff>
          <xdr:row>26</xdr:row>
          <xdr:rowOff>47625</xdr:rowOff>
        </xdr:to>
        <xdr:sp macro="" textlink="">
          <xdr:nvSpPr>
            <xdr:cNvPr id="32813" name="Group Box 45" hidden="1">
              <a:extLst>
                <a:ext uri="{63B3BB69-23CF-44E3-9099-C40C66FF867C}">
                  <a14:compatExt spid="_x0000_s32813"/>
                </a:ext>
                <a:ext uri="{FF2B5EF4-FFF2-40B4-BE49-F238E27FC236}">
                  <a16:creationId xmlns:a16="http://schemas.microsoft.com/office/drawing/2014/main" id="{00000000-0008-0000-0300-00002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0</xdr:rowOff>
        </xdr:from>
        <xdr:to>
          <xdr:col>8</xdr:col>
          <xdr:colOff>38100</xdr:colOff>
          <xdr:row>27</xdr:row>
          <xdr:rowOff>0</xdr:rowOff>
        </xdr:to>
        <xdr:sp macro="" textlink="">
          <xdr:nvSpPr>
            <xdr:cNvPr id="32814" name="Option Button 46" hidden="1">
              <a:extLst>
                <a:ext uri="{63B3BB69-23CF-44E3-9099-C40C66FF867C}">
                  <a14:compatExt spid="_x0000_s32814"/>
                </a:ext>
                <a:ext uri="{FF2B5EF4-FFF2-40B4-BE49-F238E27FC236}">
                  <a16:creationId xmlns:a16="http://schemas.microsoft.com/office/drawing/2014/main" id="{00000000-0008-0000-0300-00002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27</xdr:row>
          <xdr:rowOff>0</xdr:rowOff>
        </xdr:from>
        <xdr:to>
          <xdr:col>8</xdr:col>
          <xdr:colOff>38100</xdr:colOff>
          <xdr:row>28</xdr:row>
          <xdr:rowOff>0</xdr:rowOff>
        </xdr:to>
        <xdr:sp macro="" textlink="">
          <xdr:nvSpPr>
            <xdr:cNvPr id="32815" name="Option Button 47" hidden="1">
              <a:extLst>
                <a:ext uri="{63B3BB69-23CF-44E3-9099-C40C66FF867C}">
                  <a14:compatExt spid="_x0000_s32815"/>
                </a:ext>
                <a:ext uri="{FF2B5EF4-FFF2-40B4-BE49-F238E27FC236}">
                  <a16:creationId xmlns:a16="http://schemas.microsoft.com/office/drawing/2014/main" id="{00000000-0008-0000-0300-00002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25</xdr:row>
          <xdr:rowOff>219075</xdr:rowOff>
        </xdr:from>
        <xdr:to>
          <xdr:col>8</xdr:col>
          <xdr:colOff>104775</xdr:colOff>
          <xdr:row>28</xdr:row>
          <xdr:rowOff>9525</xdr:rowOff>
        </xdr:to>
        <xdr:sp macro="" textlink="">
          <xdr:nvSpPr>
            <xdr:cNvPr id="32816" name="Group Box 48" hidden="1">
              <a:extLst>
                <a:ext uri="{63B3BB69-23CF-44E3-9099-C40C66FF867C}">
                  <a14:compatExt spid="_x0000_s32816"/>
                </a:ext>
                <a:ext uri="{FF2B5EF4-FFF2-40B4-BE49-F238E27FC236}">
                  <a16:creationId xmlns:a16="http://schemas.microsoft.com/office/drawing/2014/main" id="{00000000-0008-0000-0300-000030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149</a:t>
              </a:r>
            </a:p>
          </xdr:txBody>
        </xdr:sp>
        <xdr:clientData/>
      </xdr:twoCellAnchor>
    </mc:Choice>
    <mc:Fallback/>
  </mc:AlternateContent>
  <xdr:twoCellAnchor>
    <xdr:from>
      <xdr:col>40</xdr:col>
      <xdr:colOff>149087</xdr:colOff>
      <xdr:row>0</xdr:row>
      <xdr:rowOff>314739</xdr:rowOff>
    </xdr:from>
    <xdr:to>
      <xdr:col>55</xdr:col>
      <xdr:colOff>57978</xdr:colOff>
      <xdr:row>6</xdr:row>
      <xdr:rowOff>41412</xdr:rowOff>
    </xdr:to>
    <xdr:sp macro="" textlink="">
      <xdr:nvSpPr>
        <xdr:cNvPr id="50" name="正方形/長方形 49">
          <a:extLst>
            <a:ext uri="{FF2B5EF4-FFF2-40B4-BE49-F238E27FC236}">
              <a16:creationId xmlns:a16="http://schemas.microsoft.com/office/drawing/2014/main" id="{00000000-0008-0000-0300-000032000000}"/>
            </a:ext>
          </a:extLst>
        </xdr:cNvPr>
        <xdr:cNvSpPr/>
      </xdr:nvSpPr>
      <xdr:spPr>
        <a:xfrm>
          <a:off x="7816712" y="314739"/>
          <a:ext cx="2909266" cy="1736448"/>
        </a:xfrm>
        <a:prstGeom prst="rect">
          <a:avLst/>
        </a:prstGeom>
        <a:solidFill>
          <a:schemeClr val="accent4">
            <a:lumMod val="20000"/>
            <a:lumOff val="8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solidFill>
                <a:schemeClr val="tx1"/>
              </a:solidFill>
              <a:latin typeface="BIZ UDゴシック" panose="020B0400000000000000" pitchFamily="49" charset="-128"/>
              <a:ea typeface="BIZ UDゴシック" panose="020B0400000000000000" pitchFamily="49" charset="-128"/>
            </a:rPr>
            <a:t>・水色に塗られた箇所は必ず記入・選択してください。</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（ボタンの選択によって入力箇所が追加・削除されます）</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・記入例を適宜ご参照ください。</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・開始・終了時間は、終日であれば入力不要（水色のままで</a:t>
          </a:r>
          <a:r>
            <a:rPr kumimoji="1" lang="en-US" altLang="ja-JP" sz="1100">
              <a:solidFill>
                <a:schemeClr val="tx1"/>
              </a:solidFill>
              <a:latin typeface="BIZ UDゴシック" panose="020B0400000000000000" pitchFamily="49" charset="-128"/>
              <a:ea typeface="BIZ UDゴシック" panose="020B0400000000000000" pitchFamily="49" charset="-128"/>
            </a:rPr>
            <a:t>OK</a:t>
          </a:r>
          <a:r>
            <a:rPr kumimoji="1" lang="ja-JP" altLang="en-US" sz="1100">
              <a:solidFill>
                <a:schemeClr val="tx1"/>
              </a:solidFill>
              <a:latin typeface="BIZ UDゴシック" panose="020B0400000000000000" pitchFamily="49" charset="-128"/>
              <a:ea typeface="BIZ UDゴシック" panose="020B0400000000000000" pitchFamily="49" charset="-128"/>
            </a:rPr>
            <a:t>）</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・プロジェクトコードは、外部資金のみ入力</a:t>
          </a:r>
        </a:p>
      </xdr:txBody>
    </xdr:sp>
    <xdr:clientData/>
  </xdr:twoCellAnchor>
  <mc:AlternateContent xmlns:mc="http://schemas.openxmlformats.org/markup-compatibility/2006">
    <mc:Choice xmlns:a14="http://schemas.microsoft.com/office/drawing/2010/main" Requires="a14">
      <xdr:twoCellAnchor editAs="oneCell">
        <xdr:from>
          <xdr:col>5</xdr:col>
          <xdr:colOff>190500</xdr:colOff>
          <xdr:row>4</xdr:row>
          <xdr:rowOff>19050</xdr:rowOff>
        </xdr:from>
        <xdr:to>
          <xdr:col>7</xdr:col>
          <xdr:colOff>123825</xdr:colOff>
          <xdr:row>5</xdr:row>
          <xdr:rowOff>0</xdr:rowOff>
        </xdr:to>
        <xdr:sp macro="" textlink="">
          <xdr:nvSpPr>
            <xdr:cNvPr id="32817" name="Option Button 49" hidden="1">
              <a:extLst>
                <a:ext uri="{63B3BB69-23CF-44E3-9099-C40C66FF867C}">
                  <a14:compatExt spid="_x0000_s32817"/>
                </a:ext>
                <a:ext uri="{FF2B5EF4-FFF2-40B4-BE49-F238E27FC236}">
                  <a16:creationId xmlns:a16="http://schemas.microsoft.com/office/drawing/2014/main" id="{00000000-0008-0000-0300-00003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4</xdr:row>
          <xdr:rowOff>0</xdr:rowOff>
        </xdr:from>
        <xdr:to>
          <xdr:col>14</xdr:col>
          <xdr:colOff>114300</xdr:colOff>
          <xdr:row>4</xdr:row>
          <xdr:rowOff>200025</xdr:rowOff>
        </xdr:to>
        <xdr:sp macro="" textlink="">
          <xdr:nvSpPr>
            <xdr:cNvPr id="32818" name="Option Button 50" hidden="1">
              <a:extLst>
                <a:ext uri="{63B3BB69-23CF-44E3-9099-C40C66FF867C}">
                  <a14:compatExt spid="_x0000_s32818"/>
                </a:ext>
                <a:ext uri="{FF2B5EF4-FFF2-40B4-BE49-F238E27FC236}">
                  <a16:creationId xmlns:a16="http://schemas.microsoft.com/office/drawing/2014/main" id="{00000000-0008-0000-0300-00003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180975</xdr:colOff>
          <xdr:row>4</xdr:row>
          <xdr:rowOff>0</xdr:rowOff>
        </xdr:from>
        <xdr:to>
          <xdr:col>21</xdr:col>
          <xdr:colOff>114300</xdr:colOff>
          <xdr:row>5</xdr:row>
          <xdr:rowOff>0</xdr:rowOff>
        </xdr:to>
        <xdr:sp macro="" textlink="">
          <xdr:nvSpPr>
            <xdr:cNvPr id="32819" name="Option Button 51" hidden="1">
              <a:extLst>
                <a:ext uri="{63B3BB69-23CF-44E3-9099-C40C66FF867C}">
                  <a14:compatExt spid="_x0000_s32819"/>
                </a:ext>
                <a:ext uri="{FF2B5EF4-FFF2-40B4-BE49-F238E27FC236}">
                  <a16:creationId xmlns:a16="http://schemas.microsoft.com/office/drawing/2014/main" id="{00000000-0008-0000-0300-00003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xdr:row>
          <xdr:rowOff>266700</xdr:rowOff>
        </xdr:from>
        <xdr:to>
          <xdr:col>26</xdr:col>
          <xdr:colOff>76200</xdr:colOff>
          <xdr:row>5</xdr:row>
          <xdr:rowOff>66675</xdr:rowOff>
        </xdr:to>
        <xdr:sp macro="" textlink="">
          <xdr:nvSpPr>
            <xdr:cNvPr id="32820" name="Group Box 52" hidden="1">
              <a:extLst>
                <a:ext uri="{63B3BB69-23CF-44E3-9099-C40C66FF867C}">
                  <a14:compatExt spid="_x0000_s32820"/>
                </a:ext>
                <a:ext uri="{FF2B5EF4-FFF2-40B4-BE49-F238E27FC236}">
                  <a16:creationId xmlns:a16="http://schemas.microsoft.com/office/drawing/2014/main" id="{00000000-0008-0000-0300-000034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161</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19</xdr:row>
          <xdr:rowOff>38100</xdr:rowOff>
        </xdr:from>
        <xdr:to>
          <xdr:col>10</xdr:col>
          <xdr:colOff>0</xdr:colOff>
          <xdr:row>19</xdr:row>
          <xdr:rowOff>276225</xdr:rowOff>
        </xdr:to>
        <xdr:sp macro="" textlink="">
          <xdr:nvSpPr>
            <xdr:cNvPr id="33793" name="Option Button 1" hidden="1">
              <a:extLst>
                <a:ext uri="{63B3BB69-23CF-44E3-9099-C40C66FF867C}">
                  <a14:compatExt spid="_x0000_s33793"/>
                </a:ext>
                <a:ext uri="{FF2B5EF4-FFF2-40B4-BE49-F238E27FC236}">
                  <a16:creationId xmlns:a16="http://schemas.microsoft.com/office/drawing/2014/main" id="{00000000-0008-0000-04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38100</xdr:rowOff>
        </xdr:from>
        <xdr:to>
          <xdr:col>17</xdr:col>
          <xdr:colOff>0</xdr:colOff>
          <xdr:row>19</xdr:row>
          <xdr:rowOff>276225</xdr:rowOff>
        </xdr:to>
        <xdr:sp macro="" textlink="">
          <xdr:nvSpPr>
            <xdr:cNvPr id="33794" name="Option Button 2" hidden="1">
              <a:extLst>
                <a:ext uri="{63B3BB69-23CF-44E3-9099-C40C66FF867C}">
                  <a14:compatExt spid="_x0000_s33794"/>
                </a:ext>
                <a:ext uri="{FF2B5EF4-FFF2-40B4-BE49-F238E27FC236}">
                  <a16:creationId xmlns:a16="http://schemas.microsoft.com/office/drawing/2014/main" id="{00000000-0008-0000-0400-00000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19</xdr:row>
          <xdr:rowOff>38100</xdr:rowOff>
        </xdr:from>
        <xdr:to>
          <xdr:col>24</xdr:col>
          <xdr:colOff>0</xdr:colOff>
          <xdr:row>19</xdr:row>
          <xdr:rowOff>276225</xdr:rowOff>
        </xdr:to>
        <xdr:sp macro="" textlink="">
          <xdr:nvSpPr>
            <xdr:cNvPr id="33795" name="Option Button 3" hidden="1">
              <a:extLst>
                <a:ext uri="{63B3BB69-23CF-44E3-9099-C40C66FF867C}">
                  <a14:compatExt spid="_x0000_s33795"/>
                </a:ext>
                <a:ext uri="{FF2B5EF4-FFF2-40B4-BE49-F238E27FC236}">
                  <a16:creationId xmlns:a16="http://schemas.microsoft.com/office/drawing/2014/main" id="{00000000-0008-0000-04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19050</xdr:rowOff>
        </xdr:from>
        <xdr:to>
          <xdr:col>10</xdr:col>
          <xdr:colOff>0</xdr:colOff>
          <xdr:row>28</xdr:row>
          <xdr:rowOff>257175</xdr:rowOff>
        </xdr:to>
        <xdr:sp macro="" textlink="">
          <xdr:nvSpPr>
            <xdr:cNvPr id="33796" name="Option Button 4" hidden="1">
              <a:extLst>
                <a:ext uri="{63B3BB69-23CF-44E3-9099-C40C66FF867C}">
                  <a14:compatExt spid="_x0000_s33796"/>
                </a:ext>
                <a:ext uri="{FF2B5EF4-FFF2-40B4-BE49-F238E27FC236}">
                  <a16:creationId xmlns:a16="http://schemas.microsoft.com/office/drawing/2014/main" id="{00000000-0008-0000-04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xdr:row>
          <xdr:rowOff>19050</xdr:rowOff>
        </xdr:from>
        <xdr:to>
          <xdr:col>17</xdr:col>
          <xdr:colOff>0</xdr:colOff>
          <xdr:row>28</xdr:row>
          <xdr:rowOff>257175</xdr:rowOff>
        </xdr:to>
        <xdr:sp macro="" textlink="">
          <xdr:nvSpPr>
            <xdr:cNvPr id="33797" name="Option Button 5" hidden="1">
              <a:extLst>
                <a:ext uri="{63B3BB69-23CF-44E3-9099-C40C66FF867C}">
                  <a14:compatExt spid="_x0000_s33797"/>
                </a:ext>
                <a:ext uri="{FF2B5EF4-FFF2-40B4-BE49-F238E27FC236}">
                  <a16:creationId xmlns:a16="http://schemas.microsoft.com/office/drawing/2014/main" id="{00000000-0008-0000-0400-00000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28</xdr:row>
          <xdr:rowOff>19050</xdr:rowOff>
        </xdr:from>
        <xdr:to>
          <xdr:col>24</xdr:col>
          <xdr:colOff>0</xdr:colOff>
          <xdr:row>28</xdr:row>
          <xdr:rowOff>257175</xdr:rowOff>
        </xdr:to>
        <xdr:sp macro="" textlink="">
          <xdr:nvSpPr>
            <xdr:cNvPr id="33798" name="Option Button 6" hidden="1">
              <a:extLst>
                <a:ext uri="{63B3BB69-23CF-44E3-9099-C40C66FF867C}">
                  <a14:compatExt spid="_x0000_s33798"/>
                </a:ext>
                <a:ext uri="{FF2B5EF4-FFF2-40B4-BE49-F238E27FC236}">
                  <a16:creationId xmlns:a16="http://schemas.microsoft.com/office/drawing/2014/main" id="{00000000-0008-0000-04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11</xdr:row>
          <xdr:rowOff>19050</xdr:rowOff>
        </xdr:from>
        <xdr:to>
          <xdr:col>7</xdr:col>
          <xdr:colOff>104775</xdr:colOff>
          <xdr:row>12</xdr:row>
          <xdr:rowOff>0</xdr:rowOff>
        </xdr:to>
        <xdr:sp macro="" textlink="">
          <xdr:nvSpPr>
            <xdr:cNvPr id="33799" name="Option Button 7" hidden="1">
              <a:extLst>
                <a:ext uri="{63B3BB69-23CF-44E3-9099-C40C66FF867C}">
                  <a14:compatExt spid="_x0000_s33799"/>
                </a:ext>
                <a:ext uri="{FF2B5EF4-FFF2-40B4-BE49-F238E27FC236}">
                  <a16:creationId xmlns:a16="http://schemas.microsoft.com/office/drawing/2014/main" id="{00000000-0008-0000-04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xdr:row>
          <xdr:rowOff>19050</xdr:rowOff>
        </xdr:from>
        <xdr:to>
          <xdr:col>13</xdr:col>
          <xdr:colOff>104775</xdr:colOff>
          <xdr:row>12</xdr:row>
          <xdr:rowOff>0</xdr:rowOff>
        </xdr:to>
        <xdr:sp macro="" textlink="">
          <xdr:nvSpPr>
            <xdr:cNvPr id="33800" name="Option Button 8" hidden="1">
              <a:extLst>
                <a:ext uri="{63B3BB69-23CF-44E3-9099-C40C66FF867C}">
                  <a14:compatExt spid="_x0000_s33800"/>
                </a:ext>
                <a:ext uri="{FF2B5EF4-FFF2-40B4-BE49-F238E27FC236}">
                  <a16:creationId xmlns:a16="http://schemas.microsoft.com/office/drawing/2014/main" id="{00000000-0008-0000-0400-00000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11</xdr:row>
          <xdr:rowOff>9525</xdr:rowOff>
        </xdr:from>
        <xdr:to>
          <xdr:col>16</xdr:col>
          <xdr:colOff>9525</xdr:colOff>
          <xdr:row>12</xdr:row>
          <xdr:rowOff>38100</xdr:rowOff>
        </xdr:to>
        <xdr:sp macro="" textlink="">
          <xdr:nvSpPr>
            <xdr:cNvPr id="33801" name="Group Box 9" hidden="1">
              <a:extLst>
                <a:ext uri="{63B3BB69-23CF-44E3-9099-C40C66FF867C}">
                  <a14:compatExt spid="_x0000_s33801"/>
                </a:ext>
                <a:ext uri="{FF2B5EF4-FFF2-40B4-BE49-F238E27FC236}">
                  <a16:creationId xmlns:a16="http://schemas.microsoft.com/office/drawing/2014/main" id="{00000000-0008-0000-0400-00000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19</xdr:row>
          <xdr:rowOff>19050</xdr:rowOff>
        </xdr:from>
        <xdr:to>
          <xdr:col>24</xdr:col>
          <xdr:colOff>133350</xdr:colOff>
          <xdr:row>19</xdr:row>
          <xdr:rowOff>304800</xdr:rowOff>
        </xdr:to>
        <xdr:sp macro="" textlink="">
          <xdr:nvSpPr>
            <xdr:cNvPr id="33802" name="Group Box 10" hidden="1">
              <a:extLst>
                <a:ext uri="{63B3BB69-23CF-44E3-9099-C40C66FF867C}">
                  <a14:compatExt spid="_x0000_s33802"/>
                </a:ext>
                <a:ext uri="{FF2B5EF4-FFF2-40B4-BE49-F238E27FC236}">
                  <a16:creationId xmlns:a16="http://schemas.microsoft.com/office/drawing/2014/main" id="{00000000-0008-0000-0400-00000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19</xdr:row>
          <xdr:rowOff>285750</xdr:rowOff>
        </xdr:from>
        <xdr:to>
          <xdr:col>37</xdr:col>
          <xdr:colOff>247650</xdr:colOff>
          <xdr:row>24</xdr:row>
          <xdr:rowOff>152400</xdr:rowOff>
        </xdr:to>
        <xdr:sp macro="" textlink="">
          <xdr:nvSpPr>
            <xdr:cNvPr id="33803" name="Group Box 11" hidden="1">
              <a:extLst>
                <a:ext uri="{63B3BB69-23CF-44E3-9099-C40C66FF867C}">
                  <a14:compatExt spid="_x0000_s33803"/>
                </a:ext>
                <a:ext uri="{FF2B5EF4-FFF2-40B4-BE49-F238E27FC236}">
                  <a16:creationId xmlns:a16="http://schemas.microsoft.com/office/drawing/2014/main" id="{00000000-0008-0000-0400-00000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19050</xdr:rowOff>
        </xdr:from>
        <xdr:to>
          <xdr:col>8</xdr:col>
          <xdr:colOff>114300</xdr:colOff>
          <xdr:row>21</xdr:row>
          <xdr:rowOff>38100</xdr:rowOff>
        </xdr:to>
        <xdr:sp macro="" textlink="">
          <xdr:nvSpPr>
            <xdr:cNvPr id="33804" name="Option Button 12" hidden="1">
              <a:extLst>
                <a:ext uri="{63B3BB69-23CF-44E3-9099-C40C66FF867C}">
                  <a14:compatExt spid="_x0000_s33804"/>
                </a:ext>
                <a:ext uri="{FF2B5EF4-FFF2-40B4-BE49-F238E27FC236}">
                  <a16:creationId xmlns:a16="http://schemas.microsoft.com/office/drawing/2014/main" id="{00000000-0008-0000-0400-00000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19050</xdr:rowOff>
        </xdr:from>
        <xdr:to>
          <xdr:col>12</xdr:col>
          <xdr:colOff>114300</xdr:colOff>
          <xdr:row>21</xdr:row>
          <xdr:rowOff>38100</xdr:rowOff>
        </xdr:to>
        <xdr:sp macro="" textlink="">
          <xdr:nvSpPr>
            <xdr:cNvPr id="33805" name="Option Button 13" hidden="1">
              <a:extLst>
                <a:ext uri="{63B3BB69-23CF-44E3-9099-C40C66FF867C}">
                  <a14:compatExt spid="_x0000_s33805"/>
                </a:ext>
                <a:ext uri="{FF2B5EF4-FFF2-40B4-BE49-F238E27FC236}">
                  <a16:creationId xmlns:a16="http://schemas.microsoft.com/office/drawing/2014/main" id="{00000000-0008-0000-0400-00000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27</xdr:row>
          <xdr:rowOff>190500</xdr:rowOff>
        </xdr:from>
        <xdr:to>
          <xdr:col>25</xdr:col>
          <xdr:colOff>190500</xdr:colOff>
          <xdr:row>29</xdr:row>
          <xdr:rowOff>19050</xdr:rowOff>
        </xdr:to>
        <xdr:sp macro="" textlink="">
          <xdr:nvSpPr>
            <xdr:cNvPr id="33806" name="Group Box 14" hidden="1">
              <a:extLst>
                <a:ext uri="{63B3BB69-23CF-44E3-9099-C40C66FF867C}">
                  <a14:compatExt spid="_x0000_s33806"/>
                </a:ext>
                <a:ext uri="{FF2B5EF4-FFF2-40B4-BE49-F238E27FC236}">
                  <a16:creationId xmlns:a16="http://schemas.microsoft.com/office/drawing/2014/main" id="{00000000-0008-0000-0400-00000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30</xdr:row>
          <xdr:rowOff>0</xdr:rowOff>
        </xdr:from>
        <xdr:to>
          <xdr:col>8</xdr:col>
          <xdr:colOff>114300</xdr:colOff>
          <xdr:row>31</xdr:row>
          <xdr:rowOff>9525</xdr:rowOff>
        </xdr:to>
        <xdr:sp macro="" textlink="">
          <xdr:nvSpPr>
            <xdr:cNvPr id="33807" name="Option Button 15" hidden="1">
              <a:extLst>
                <a:ext uri="{63B3BB69-23CF-44E3-9099-C40C66FF867C}">
                  <a14:compatExt spid="_x0000_s33807"/>
                </a:ext>
                <a:ext uri="{FF2B5EF4-FFF2-40B4-BE49-F238E27FC236}">
                  <a16:creationId xmlns:a16="http://schemas.microsoft.com/office/drawing/2014/main" id="{00000000-0008-0000-0400-00000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29</xdr:row>
          <xdr:rowOff>0</xdr:rowOff>
        </xdr:from>
        <xdr:to>
          <xdr:col>9</xdr:col>
          <xdr:colOff>114300</xdr:colOff>
          <xdr:row>31</xdr:row>
          <xdr:rowOff>19050</xdr:rowOff>
        </xdr:to>
        <xdr:sp macro="" textlink="">
          <xdr:nvSpPr>
            <xdr:cNvPr id="33808" name="Group Box 16" hidden="1">
              <a:extLst>
                <a:ext uri="{63B3BB69-23CF-44E3-9099-C40C66FF867C}">
                  <a14:compatExt spid="_x0000_s33808"/>
                </a:ext>
                <a:ext uri="{FF2B5EF4-FFF2-40B4-BE49-F238E27FC236}">
                  <a16:creationId xmlns:a16="http://schemas.microsoft.com/office/drawing/2014/main" id="{00000000-0008-0000-0400-00001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9525</xdr:rowOff>
        </xdr:from>
        <xdr:to>
          <xdr:col>8</xdr:col>
          <xdr:colOff>114300</xdr:colOff>
          <xdr:row>30</xdr:row>
          <xdr:rowOff>19050</xdr:rowOff>
        </xdr:to>
        <xdr:sp macro="" textlink="">
          <xdr:nvSpPr>
            <xdr:cNvPr id="33809" name="Option Button 17" hidden="1">
              <a:extLst>
                <a:ext uri="{63B3BB69-23CF-44E3-9099-C40C66FF867C}">
                  <a14:compatExt spid="_x0000_s33809"/>
                </a:ext>
                <a:ext uri="{FF2B5EF4-FFF2-40B4-BE49-F238E27FC236}">
                  <a16:creationId xmlns:a16="http://schemas.microsoft.com/office/drawing/2014/main" id="{00000000-0008-0000-0400-00001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31</xdr:row>
          <xdr:rowOff>19050</xdr:rowOff>
        </xdr:from>
        <xdr:to>
          <xdr:col>7</xdr:col>
          <xdr:colOff>104775</xdr:colOff>
          <xdr:row>31</xdr:row>
          <xdr:rowOff>266700</xdr:rowOff>
        </xdr:to>
        <xdr:sp macro="" textlink="">
          <xdr:nvSpPr>
            <xdr:cNvPr id="33810" name="Option Button 18" hidden="1">
              <a:extLst>
                <a:ext uri="{63B3BB69-23CF-44E3-9099-C40C66FF867C}">
                  <a14:compatExt spid="_x0000_s33810"/>
                </a:ext>
                <a:ext uri="{FF2B5EF4-FFF2-40B4-BE49-F238E27FC236}">
                  <a16:creationId xmlns:a16="http://schemas.microsoft.com/office/drawing/2014/main" id="{00000000-0008-0000-0400-00001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31</xdr:row>
          <xdr:rowOff>19050</xdr:rowOff>
        </xdr:from>
        <xdr:to>
          <xdr:col>17</xdr:col>
          <xdr:colOff>104775</xdr:colOff>
          <xdr:row>31</xdr:row>
          <xdr:rowOff>266700</xdr:rowOff>
        </xdr:to>
        <xdr:sp macro="" textlink="">
          <xdr:nvSpPr>
            <xdr:cNvPr id="33811" name="Option Button 19" hidden="1">
              <a:extLst>
                <a:ext uri="{63B3BB69-23CF-44E3-9099-C40C66FF867C}">
                  <a14:compatExt spid="_x0000_s33811"/>
                </a:ext>
                <a:ext uri="{FF2B5EF4-FFF2-40B4-BE49-F238E27FC236}">
                  <a16:creationId xmlns:a16="http://schemas.microsoft.com/office/drawing/2014/main" id="{00000000-0008-0000-0400-00001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31</xdr:row>
          <xdr:rowOff>19050</xdr:rowOff>
        </xdr:from>
        <xdr:to>
          <xdr:col>23</xdr:col>
          <xdr:colOff>104775</xdr:colOff>
          <xdr:row>31</xdr:row>
          <xdr:rowOff>266700</xdr:rowOff>
        </xdr:to>
        <xdr:sp macro="" textlink="">
          <xdr:nvSpPr>
            <xdr:cNvPr id="33812" name="Option Button 20" hidden="1">
              <a:extLst>
                <a:ext uri="{63B3BB69-23CF-44E3-9099-C40C66FF867C}">
                  <a14:compatExt spid="_x0000_s33812"/>
                </a:ext>
                <a:ext uri="{FF2B5EF4-FFF2-40B4-BE49-F238E27FC236}">
                  <a16:creationId xmlns:a16="http://schemas.microsoft.com/office/drawing/2014/main" id="{00000000-0008-0000-0400-00001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31</xdr:row>
          <xdr:rowOff>9525</xdr:rowOff>
        </xdr:from>
        <xdr:to>
          <xdr:col>28</xdr:col>
          <xdr:colOff>142875</xdr:colOff>
          <xdr:row>32</xdr:row>
          <xdr:rowOff>0</xdr:rowOff>
        </xdr:to>
        <xdr:sp macro="" textlink="">
          <xdr:nvSpPr>
            <xdr:cNvPr id="33813" name="Group Box 21" hidden="1">
              <a:extLst>
                <a:ext uri="{63B3BB69-23CF-44E3-9099-C40C66FF867C}">
                  <a14:compatExt spid="_x0000_s33813"/>
                </a:ext>
                <a:ext uri="{FF2B5EF4-FFF2-40B4-BE49-F238E27FC236}">
                  <a16:creationId xmlns:a16="http://schemas.microsoft.com/office/drawing/2014/main" id="{00000000-0008-0000-0400-00001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31</xdr:row>
          <xdr:rowOff>28575</xdr:rowOff>
        </xdr:from>
        <xdr:to>
          <xdr:col>11</xdr:col>
          <xdr:colOff>104775</xdr:colOff>
          <xdr:row>31</xdr:row>
          <xdr:rowOff>276225</xdr:rowOff>
        </xdr:to>
        <xdr:sp macro="" textlink="">
          <xdr:nvSpPr>
            <xdr:cNvPr id="33814" name="Check Box 22" hidden="1">
              <a:extLst>
                <a:ext uri="{63B3BB69-23CF-44E3-9099-C40C66FF867C}">
                  <a14:compatExt spid="_x0000_s33814"/>
                </a:ext>
                <a:ext uri="{FF2B5EF4-FFF2-40B4-BE49-F238E27FC236}">
                  <a16:creationId xmlns:a16="http://schemas.microsoft.com/office/drawing/2014/main" id="{00000000-0008-0000-0400-00001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28575</xdr:rowOff>
        </xdr:from>
        <xdr:to>
          <xdr:col>7</xdr:col>
          <xdr:colOff>38100</xdr:colOff>
          <xdr:row>33</xdr:row>
          <xdr:rowOff>276225</xdr:rowOff>
        </xdr:to>
        <xdr:sp macro="" textlink="">
          <xdr:nvSpPr>
            <xdr:cNvPr id="33815" name="Option Button 23" hidden="1">
              <a:extLst>
                <a:ext uri="{63B3BB69-23CF-44E3-9099-C40C66FF867C}">
                  <a14:compatExt spid="_x0000_s33815"/>
                </a:ext>
                <a:ext uri="{FF2B5EF4-FFF2-40B4-BE49-F238E27FC236}">
                  <a16:creationId xmlns:a16="http://schemas.microsoft.com/office/drawing/2014/main" id="{00000000-0008-0000-0400-00001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xdr:row>
          <xdr:rowOff>28575</xdr:rowOff>
        </xdr:from>
        <xdr:to>
          <xdr:col>10</xdr:col>
          <xdr:colOff>38100</xdr:colOff>
          <xdr:row>33</xdr:row>
          <xdr:rowOff>276225</xdr:rowOff>
        </xdr:to>
        <xdr:sp macro="" textlink="">
          <xdr:nvSpPr>
            <xdr:cNvPr id="33816" name="Option Button 24" hidden="1">
              <a:extLst>
                <a:ext uri="{63B3BB69-23CF-44E3-9099-C40C66FF867C}">
                  <a14:compatExt spid="_x0000_s33816"/>
                </a:ext>
                <a:ext uri="{FF2B5EF4-FFF2-40B4-BE49-F238E27FC236}">
                  <a16:creationId xmlns:a16="http://schemas.microsoft.com/office/drawing/2014/main" id="{00000000-0008-0000-0400-00001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32</xdr:row>
          <xdr:rowOff>190500</xdr:rowOff>
        </xdr:from>
        <xdr:to>
          <xdr:col>12</xdr:col>
          <xdr:colOff>85725</xdr:colOff>
          <xdr:row>34</xdr:row>
          <xdr:rowOff>76200</xdr:rowOff>
        </xdr:to>
        <xdr:sp macro="" textlink="">
          <xdr:nvSpPr>
            <xdr:cNvPr id="33817" name="Group Box 25" hidden="1">
              <a:extLst>
                <a:ext uri="{63B3BB69-23CF-44E3-9099-C40C66FF867C}">
                  <a14:compatExt spid="_x0000_s33817"/>
                </a:ext>
                <a:ext uri="{FF2B5EF4-FFF2-40B4-BE49-F238E27FC236}">
                  <a16:creationId xmlns:a16="http://schemas.microsoft.com/office/drawing/2014/main" id="{00000000-0008-0000-0400-00001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20</xdr:row>
          <xdr:rowOff>19050</xdr:rowOff>
        </xdr:from>
        <xdr:to>
          <xdr:col>18</xdr:col>
          <xdr:colOff>114300</xdr:colOff>
          <xdr:row>21</xdr:row>
          <xdr:rowOff>38100</xdr:rowOff>
        </xdr:to>
        <xdr:sp macro="" textlink="">
          <xdr:nvSpPr>
            <xdr:cNvPr id="33818" name="Option Button 26" hidden="1">
              <a:extLst>
                <a:ext uri="{63B3BB69-23CF-44E3-9099-C40C66FF867C}">
                  <a14:compatExt spid="_x0000_s33818"/>
                </a:ext>
                <a:ext uri="{FF2B5EF4-FFF2-40B4-BE49-F238E27FC236}">
                  <a16:creationId xmlns:a16="http://schemas.microsoft.com/office/drawing/2014/main" id="{00000000-0008-0000-0400-00001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20</xdr:row>
          <xdr:rowOff>19050</xdr:rowOff>
        </xdr:from>
        <xdr:to>
          <xdr:col>22</xdr:col>
          <xdr:colOff>114300</xdr:colOff>
          <xdr:row>21</xdr:row>
          <xdr:rowOff>38100</xdr:rowOff>
        </xdr:to>
        <xdr:sp macro="" textlink="">
          <xdr:nvSpPr>
            <xdr:cNvPr id="33819" name="Option Button 27" hidden="1">
              <a:extLst>
                <a:ext uri="{63B3BB69-23CF-44E3-9099-C40C66FF867C}">
                  <a14:compatExt spid="_x0000_s33819"/>
                </a:ext>
                <a:ext uri="{FF2B5EF4-FFF2-40B4-BE49-F238E27FC236}">
                  <a16:creationId xmlns:a16="http://schemas.microsoft.com/office/drawing/2014/main" id="{00000000-0008-0000-0400-00001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20</xdr:row>
          <xdr:rowOff>19050</xdr:rowOff>
        </xdr:from>
        <xdr:to>
          <xdr:col>26</xdr:col>
          <xdr:colOff>114300</xdr:colOff>
          <xdr:row>21</xdr:row>
          <xdr:rowOff>38100</xdr:rowOff>
        </xdr:to>
        <xdr:sp macro="" textlink="">
          <xdr:nvSpPr>
            <xdr:cNvPr id="33820" name="Option Button 28" hidden="1">
              <a:extLst>
                <a:ext uri="{63B3BB69-23CF-44E3-9099-C40C66FF867C}">
                  <a14:compatExt spid="_x0000_s33820"/>
                </a:ext>
                <a:ext uri="{FF2B5EF4-FFF2-40B4-BE49-F238E27FC236}">
                  <a16:creationId xmlns:a16="http://schemas.microsoft.com/office/drawing/2014/main" id="{00000000-0008-0000-0400-00001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20</xdr:row>
          <xdr:rowOff>19050</xdr:rowOff>
        </xdr:from>
        <xdr:to>
          <xdr:col>30</xdr:col>
          <xdr:colOff>114300</xdr:colOff>
          <xdr:row>21</xdr:row>
          <xdr:rowOff>38100</xdr:rowOff>
        </xdr:to>
        <xdr:sp macro="" textlink="">
          <xdr:nvSpPr>
            <xdr:cNvPr id="33821" name="Option Button 29" hidden="1">
              <a:extLst>
                <a:ext uri="{63B3BB69-23CF-44E3-9099-C40C66FF867C}">
                  <a14:compatExt spid="_x0000_s33821"/>
                </a:ext>
                <a:ext uri="{FF2B5EF4-FFF2-40B4-BE49-F238E27FC236}">
                  <a16:creationId xmlns:a16="http://schemas.microsoft.com/office/drawing/2014/main" id="{00000000-0008-0000-0400-00001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20</xdr:row>
          <xdr:rowOff>19050</xdr:rowOff>
        </xdr:from>
        <xdr:to>
          <xdr:col>34</xdr:col>
          <xdr:colOff>114300</xdr:colOff>
          <xdr:row>21</xdr:row>
          <xdr:rowOff>38100</xdr:rowOff>
        </xdr:to>
        <xdr:sp macro="" textlink="">
          <xdr:nvSpPr>
            <xdr:cNvPr id="33822" name="Option Button 30" hidden="1">
              <a:extLst>
                <a:ext uri="{63B3BB69-23CF-44E3-9099-C40C66FF867C}">
                  <a14:compatExt spid="_x0000_s33822"/>
                </a:ext>
                <a:ext uri="{FF2B5EF4-FFF2-40B4-BE49-F238E27FC236}">
                  <a16:creationId xmlns:a16="http://schemas.microsoft.com/office/drawing/2014/main" id="{00000000-0008-0000-0400-00001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19050</xdr:rowOff>
        </xdr:from>
        <xdr:to>
          <xdr:col>8</xdr:col>
          <xdr:colOff>114300</xdr:colOff>
          <xdr:row>22</xdr:row>
          <xdr:rowOff>38100</xdr:rowOff>
        </xdr:to>
        <xdr:sp macro="" textlink="">
          <xdr:nvSpPr>
            <xdr:cNvPr id="33823" name="Option Button 31" hidden="1">
              <a:extLst>
                <a:ext uri="{63B3BB69-23CF-44E3-9099-C40C66FF867C}">
                  <a14:compatExt spid="_x0000_s33823"/>
                </a:ext>
                <a:ext uri="{FF2B5EF4-FFF2-40B4-BE49-F238E27FC236}">
                  <a16:creationId xmlns:a16="http://schemas.microsoft.com/office/drawing/2014/main" id="{00000000-0008-0000-0400-00001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21</xdr:row>
          <xdr:rowOff>19050</xdr:rowOff>
        </xdr:from>
        <xdr:to>
          <xdr:col>13</xdr:col>
          <xdr:colOff>114300</xdr:colOff>
          <xdr:row>22</xdr:row>
          <xdr:rowOff>38100</xdr:rowOff>
        </xdr:to>
        <xdr:sp macro="" textlink="">
          <xdr:nvSpPr>
            <xdr:cNvPr id="33824" name="Option Button 32" hidden="1">
              <a:extLst>
                <a:ext uri="{63B3BB69-23CF-44E3-9099-C40C66FF867C}">
                  <a14:compatExt spid="_x0000_s33824"/>
                </a:ext>
                <a:ext uri="{FF2B5EF4-FFF2-40B4-BE49-F238E27FC236}">
                  <a16:creationId xmlns:a16="http://schemas.microsoft.com/office/drawing/2014/main" id="{00000000-0008-0000-0400-00002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19050</xdr:rowOff>
        </xdr:from>
        <xdr:to>
          <xdr:col>8</xdr:col>
          <xdr:colOff>114300</xdr:colOff>
          <xdr:row>23</xdr:row>
          <xdr:rowOff>38100</xdr:rowOff>
        </xdr:to>
        <xdr:sp macro="" textlink="">
          <xdr:nvSpPr>
            <xdr:cNvPr id="33825" name="Option Button 33" hidden="1">
              <a:extLst>
                <a:ext uri="{63B3BB69-23CF-44E3-9099-C40C66FF867C}">
                  <a14:compatExt spid="_x0000_s33825"/>
                </a:ext>
                <a:ext uri="{FF2B5EF4-FFF2-40B4-BE49-F238E27FC236}">
                  <a16:creationId xmlns:a16="http://schemas.microsoft.com/office/drawing/2014/main" id="{00000000-0008-0000-0400-00002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22</xdr:row>
          <xdr:rowOff>19050</xdr:rowOff>
        </xdr:from>
        <xdr:to>
          <xdr:col>14</xdr:col>
          <xdr:colOff>114300</xdr:colOff>
          <xdr:row>23</xdr:row>
          <xdr:rowOff>38100</xdr:rowOff>
        </xdr:to>
        <xdr:sp macro="" textlink="">
          <xdr:nvSpPr>
            <xdr:cNvPr id="33826" name="Option Button 34" hidden="1">
              <a:extLst>
                <a:ext uri="{63B3BB69-23CF-44E3-9099-C40C66FF867C}">
                  <a14:compatExt spid="_x0000_s33826"/>
                </a:ext>
                <a:ext uri="{FF2B5EF4-FFF2-40B4-BE49-F238E27FC236}">
                  <a16:creationId xmlns:a16="http://schemas.microsoft.com/office/drawing/2014/main" id="{00000000-0008-0000-0400-00002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22</xdr:row>
          <xdr:rowOff>19050</xdr:rowOff>
        </xdr:from>
        <xdr:to>
          <xdr:col>20</xdr:col>
          <xdr:colOff>114300</xdr:colOff>
          <xdr:row>23</xdr:row>
          <xdr:rowOff>38100</xdr:rowOff>
        </xdr:to>
        <xdr:sp macro="" textlink="">
          <xdr:nvSpPr>
            <xdr:cNvPr id="33827" name="Option Button 35" hidden="1">
              <a:extLst>
                <a:ext uri="{63B3BB69-23CF-44E3-9099-C40C66FF867C}">
                  <a14:compatExt spid="_x0000_s33827"/>
                </a:ext>
                <a:ext uri="{FF2B5EF4-FFF2-40B4-BE49-F238E27FC236}">
                  <a16:creationId xmlns:a16="http://schemas.microsoft.com/office/drawing/2014/main" id="{00000000-0008-0000-0400-00002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22</xdr:row>
          <xdr:rowOff>19050</xdr:rowOff>
        </xdr:from>
        <xdr:to>
          <xdr:col>27</xdr:col>
          <xdr:colOff>114300</xdr:colOff>
          <xdr:row>23</xdr:row>
          <xdr:rowOff>38100</xdr:rowOff>
        </xdr:to>
        <xdr:sp macro="" textlink="">
          <xdr:nvSpPr>
            <xdr:cNvPr id="33828" name="Option Button 36" hidden="1">
              <a:extLst>
                <a:ext uri="{63B3BB69-23CF-44E3-9099-C40C66FF867C}">
                  <a14:compatExt spid="_x0000_s33828"/>
                </a:ext>
                <a:ext uri="{FF2B5EF4-FFF2-40B4-BE49-F238E27FC236}">
                  <a16:creationId xmlns:a16="http://schemas.microsoft.com/office/drawing/2014/main" id="{00000000-0008-0000-0400-00002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22</xdr:row>
          <xdr:rowOff>19050</xdr:rowOff>
        </xdr:from>
        <xdr:to>
          <xdr:col>33</xdr:col>
          <xdr:colOff>104775</xdr:colOff>
          <xdr:row>23</xdr:row>
          <xdr:rowOff>38100</xdr:rowOff>
        </xdr:to>
        <xdr:sp macro="" textlink="">
          <xdr:nvSpPr>
            <xdr:cNvPr id="33829" name="Option Button 37" hidden="1">
              <a:extLst>
                <a:ext uri="{63B3BB69-23CF-44E3-9099-C40C66FF867C}">
                  <a14:compatExt spid="_x0000_s33829"/>
                </a:ext>
                <a:ext uri="{FF2B5EF4-FFF2-40B4-BE49-F238E27FC236}">
                  <a16:creationId xmlns:a16="http://schemas.microsoft.com/office/drawing/2014/main" id="{00000000-0008-0000-0400-00002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19050</xdr:rowOff>
        </xdr:from>
        <xdr:to>
          <xdr:col>8</xdr:col>
          <xdr:colOff>114300</xdr:colOff>
          <xdr:row>24</xdr:row>
          <xdr:rowOff>38100</xdr:rowOff>
        </xdr:to>
        <xdr:sp macro="" textlink="">
          <xdr:nvSpPr>
            <xdr:cNvPr id="33830" name="Option Button 38" hidden="1">
              <a:extLst>
                <a:ext uri="{63B3BB69-23CF-44E3-9099-C40C66FF867C}">
                  <a14:compatExt spid="_x0000_s33830"/>
                </a:ext>
                <a:ext uri="{FF2B5EF4-FFF2-40B4-BE49-F238E27FC236}">
                  <a16:creationId xmlns:a16="http://schemas.microsoft.com/office/drawing/2014/main" id="{00000000-0008-0000-0400-00002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19050</xdr:rowOff>
        </xdr:from>
        <xdr:to>
          <xdr:col>13</xdr:col>
          <xdr:colOff>114300</xdr:colOff>
          <xdr:row>24</xdr:row>
          <xdr:rowOff>38100</xdr:rowOff>
        </xdr:to>
        <xdr:sp macro="" textlink="">
          <xdr:nvSpPr>
            <xdr:cNvPr id="33831" name="Option Button 39" hidden="1">
              <a:extLst>
                <a:ext uri="{63B3BB69-23CF-44E3-9099-C40C66FF867C}">
                  <a14:compatExt spid="_x0000_s33831"/>
                </a:ext>
                <a:ext uri="{FF2B5EF4-FFF2-40B4-BE49-F238E27FC236}">
                  <a16:creationId xmlns:a16="http://schemas.microsoft.com/office/drawing/2014/main" id="{00000000-0008-0000-0400-00002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23</xdr:row>
          <xdr:rowOff>19050</xdr:rowOff>
        </xdr:from>
        <xdr:to>
          <xdr:col>18</xdr:col>
          <xdr:colOff>114300</xdr:colOff>
          <xdr:row>24</xdr:row>
          <xdr:rowOff>38100</xdr:rowOff>
        </xdr:to>
        <xdr:sp macro="" textlink="">
          <xdr:nvSpPr>
            <xdr:cNvPr id="33832" name="Option Button 40" hidden="1">
              <a:extLst>
                <a:ext uri="{63B3BB69-23CF-44E3-9099-C40C66FF867C}">
                  <a14:compatExt spid="_x0000_s33832"/>
                </a:ext>
                <a:ext uri="{FF2B5EF4-FFF2-40B4-BE49-F238E27FC236}">
                  <a16:creationId xmlns:a16="http://schemas.microsoft.com/office/drawing/2014/main" id="{00000000-0008-0000-0400-00002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25</xdr:row>
          <xdr:rowOff>0</xdr:rowOff>
        </xdr:from>
        <xdr:to>
          <xdr:col>15</xdr:col>
          <xdr:colOff>57150</xdr:colOff>
          <xdr:row>26</xdr:row>
          <xdr:rowOff>9525</xdr:rowOff>
        </xdr:to>
        <xdr:sp macro="" textlink="">
          <xdr:nvSpPr>
            <xdr:cNvPr id="33833" name="Option Button 41" hidden="1">
              <a:extLst>
                <a:ext uri="{63B3BB69-23CF-44E3-9099-C40C66FF867C}">
                  <a14:compatExt spid="_x0000_s33833"/>
                </a:ext>
                <a:ext uri="{FF2B5EF4-FFF2-40B4-BE49-F238E27FC236}">
                  <a16:creationId xmlns:a16="http://schemas.microsoft.com/office/drawing/2014/main" id="{00000000-0008-0000-0400-00002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25</xdr:row>
          <xdr:rowOff>0</xdr:rowOff>
        </xdr:from>
        <xdr:to>
          <xdr:col>18</xdr:col>
          <xdr:colOff>57150</xdr:colOff>
          <xdr:row>26</xdr:row>
          <xdr:rowOff>9525</xdr:rowOff>
        </xdr:to>
        <xdr:sp macro="" textlink="">
          <xdr:nvSpPr>
            <xdr:cNvPr id="33834" name="Option Button 42" hidden="1">
              <a:extLst>
                <a:ext uri="{63B3BB69-23CF-44E3-9099-C40C66FF867C}">
                  <a14:compatExt spid="_x0000_s33834"/>
                </a:ext>
                <a:ext uri="{FF2B5EF4-FFF2-40B4-BE49-F238E27FC236}">
                  <a16:creationId xmlns:a16="http://schemas.microsoft.com/office/drawing/2014/main" id="{00000000-0008-0000-0400-00002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25</xdr:row>
          <xdr:rowOff>0</xdr:rowOff>
        </xdr:from>
        <xdr:to>
          <xdr:col>22</xdr:col>
          <xdr:colOff>57150</xdr:colOff>
          <xdr:row>26</xdr:row>
          <xdr:rowOff>9525</xdr:rowOff>
        </xdr:to>
        <xdr:sp macro="" textlink="">
          <xdr:nvSpPr>
            <xdr:cNvPr id="33835" name="Option Button 43" hidden="1">
              <a:extLst>
                <a:ext uri="{63B3BB69-23CF-44E3-9099-C40C66FF867C}">
                  <a14:compatExt spid="_x0000_s33835"/>
                </a:ext>
                <a:ext uri="{FF2B5EF4-FFF2-40B4-BE49-F238E27FC236}">
                  <a16:creationId xmlns:a16="http://schemas.microsoft.com/office/drawing/2014/main" id="{00000000-0008-0000-0400-00002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25</xdr:row>
          <xdr:rowOff>0</xdr:rowOff>
        </xdr:from>
        <xdr:to>
          <xdr:col>25</xdr:col>
          <xdr:colOff>57150</xdr:colOff>
          <xdr:row>26</xdr:row>
          <xdr:rowOff>9525</xdr:rowOff>
        </xdr:to>
        <xdr:sp macro="" textlink="">
          <xdr:nvSpPr>
            <xdr:cNvPr id="33836" name="Option Button 44" hidden="1">
              <a:extLst>
                <a:ext uri="{63B3BB69-23CF-44E3-9099-C40C66FF867C}">
                  <a14:compatExt spid="_x0000_s33836"/>
                </a:ext>
                <a:ext uri="{FF2B5EF4-FFF2-40B4-BE49-F238E27FC236}">
                  <a16:creationId xmlns:a16="http://schemas.microsoft.com/office/drawing/2014/main" id="{00000000-0008-0000-0400-00002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161925</xdr:colOff>
          <xdr:row>24</xdr:row>
          <xdr:rowOff>95250</xdr:rowOff>
        </xdr:from>
        <xdr:to>
          <xdr:col>26</xdr:col>
          <xdr:colOff>38100</xdr:colOff>
          <xdr:row>26</xdr:row>
          <xdr:rowOff>47625</xdr:rowOff>
        </xdr:to>
        <xdr:sp macro="" textlink="">
          <xdr:nvSpPr>
            <xdr:cNvPr id="33837" name="Group Box 45" hidden="1">
              <a:extLst>
                <a:ext uri="{63B3BB69-23CF-44E3-9099-C40C66FF867C}">
                  <a14:compatExt spid="_x0000_s33837"/>
                </a:ext>
                <a:ext uri="{FF2B5EF4-FFF2-40B4-BE49-F238E27FC236}">
                  <a16:creationId xmlns:a16="http://schemas.microsoft.com/office/drawing/2014/main" id="{00000000-0008-0000-0400-00002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0</xdr:rowOff>
        </xdr:from>
        <xdr:to>
          <xdr:col>8</xdr:col>
          <xdr:colOff>38100</xdr:colOff>
          <xdr:row>27</xdr:row>
          <xdr:rowOff>0</xdr:rowOff>
        </xdr:to>
        <xdr:sp macro="" textlink="">
          <xdr:nvSpPr>
            <xdr:cNvPr id="33838" name="Option Button 46" hidden="1">
              <a:extLst>
                <a:ext uri="{63B3BB69-23CF-44E3-9099-C40C66FF867C}">
                  <a14:compatExt spid="_x0000_s33838"/>
                </a:ext>
                <a:ext uri="{FF2B5EF4-FFF2-40B4-BE49-F238E27FC236}">
                  <a16:creationId xmlns:a16="http://schemas.microsoft.com/office/drawing/2014/main" id="{00000000-0008-0000-0400-00002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27</xdr:row>
          <xdr:rowOff>0</xdr:rowOff>
        </xdr:from>
        <xdr:to>
          <xdr:col>8</xdr:col>
          <xdr:colOff>38100</xdr:colOff>
          <xdr:row>28</xdr:row>
          <xdr:rowOff>0</xdr:rowOff>
        </xdr:to>
        <xdr:sp macro="" textlink="">
          <xdr:nvSpPr>
            <xdr:cNvPr id="33839" name="Option Button 47" hidden="1">
              <a:extLst>
                <a:ext uri="{63B3BB69-23CF-44E3-9099-C40C66FF867C}">
                  <a14:compatExt spid="_x0000_s33839"/>
                </a:ext>
                <a:ext uri="{FF2B5EF4-FFF2-40B4-BE49-F238E27FC236}">
                  <a16:creationId xmlns:a16="http://schemas.microsoft.com/office/drawing/2014/main" id="{00000000-0008-0000-0400-00002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25</xdr:row>
          <xdr:rowOff>219075</xdr:rowOff>
        </xdr:from>
        <xdr:to>
          <xdr:col>8</xdr:col>
          <xdr:colOff>104775</xdr:colOff>
          <xdr:row>28</xdr:row>
          <xdr:rowOff>9525</xdr:rowOff>
        </xdr:to>
        <xdr:sp macro="" textlink="">
          <xdr:nvSpPr>
            <xdr:cNvPr id="33840" name="Group Box 48" hidden="1">
              <a:extLst>
                <a:ext uri="{63B3BB69-23CF-44E3-9099-C40C66FF867C}">
                  <a14:compatExt spid="_x0000_s33840"/>
                </a:ext>
                <a:ext uri="{FF2B5EF4-FFF2-40B4-BE49-F238E27FC236}">
                  <a16:creationId xmlns:a16="http://schemas.microsoft.com/office/drawing/2014/main" id="{00000000-0008-0000-0400-00003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149</a:t>
              </a:r>
            </a:p>
          </xdr:txBody>
        </xdr:sp>
        <xdr:clientData/>
      </xdr:twoCellAnchor>
    </mc:Choice>
    <mc:Fallback/>
  </mc:AlternateContent>
  <xdr:twoCellAnchor>
    <xdr:from>
      <xdr:col>40</xdr:col>
      <xdr:colOff>149087</xdr:colOff>
      <xdr:row>0</xdr:row>
      <xdr:rowOff>314739</xdr:rowOff>
    </xdr:from>
    <xdr:to>
      <xdr:col>55</xdr:col>
      <xdr:colOff>57978</xdr:colOff>
      <xdr:row>6</xdr:row>
      <xdr:rowOff>41412</xdr:rowOff>
    </xdr:to>
    <xdr:sp macro="" textlink="">
      <xdr:nvSpPr>
        <xdr:cNvPr id="50" name="正方形/長方形 49">
          <a:extLst>
            <a:ext uri="{FF2B5EF4-FFF2-40B4-BE49-F238E27FC236}">
              <a16:creationId xmlns:a16="http://schemas.microsoft.com/office/drawing/2014/main" id="{00000000-0008-0000-0400-000032000000}"/>
            </a:ext>
          </a:extLst>
        </xdr:cNvPr>
        <xdr:cNvSpPr/>
      </xdr:nvSpPr>
      <xdr:spPr>
        <a:xfrm>
          <a:off x="7816712" y="314739"/>
          <a:ext cx="2909266" cy="1736448"/>
        </a:xfrm>
        <a:prstGeom prst="rect">
          <a:avLst/>
        </a:prstGeom>
        <a:solidFill>
          <a:schemeClr val="accent4">
            <a:lumMod val="20000"/>
            <a:lumOff val="8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solidFill>
                <a:schemeClr val="tx1"/>
              </a:solidFill>
              <a:latin typeface="BIZ UDゴシック" panose="020B0400000000000000" pitchFamily="49" charset="-128"/>
              <a:ea typeface="BIZ UDゴシック" panose="020B0400000000000000" pitchFamily="49" charset="-128"/>
            </a:rPr>
            <a:t>・水色に塗られた箇所は必ず記入・選択してください。</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（ボタンの選択によって入力箇所が追加・削除されます）</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・記入例を適宜ご参照ください。</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・開始・終了時間は、終日であれば入力不要（水色のままで</a:t>
          </a:r>
          <a:r>
            <a:rPr kumimoji="1" lang="en-US" altLang="ja-JP" sz="1100">
              <a:solidFill>
                <a:schemeClr val="tx1"/>
              </a:solidFill>
              <a:latin typeface="BIZ UDゴシック" panose="020B0400000000000000" pitchFamily="49" charset="-128"/>
              <a:ea typeface="BIZ UDゴシック" panose="020B0400000000000000" pitchFamily="49" charset="-128"/>
            </a:rPr>
            <a:t>OK</a:t>
          </a:r>
          <a:r>
            <a:rPr kumimoji="1" lang="ja-JP" altLang="en-US" sz="1100">
              <a:solidFill>
                <a:schemeClr val="tx1"/>
              </a:solidFill>
              <a:latin typeface="BIZ UDゴシック" panose="020B0400000000000000" pitchFamily="49" charset="-128"/>
              <a:ea typeface="BIZ UDゴシック" panose="020B0400000000000000" pitchFamily="49" charset="-128"/>
            </a:rPr>
            <a:t>）</a:t>
          </a:r>
          <a:endParaRPr kumimoji="1" lang="en-US" altLang="ja-JP" sz="1100">
            <a:solidFill>
              <a:schemeClr val="tx1"/>
            </a:solidFill>
            <a:latin typeface="BIZ UDゴシック" panose="020B0400000000000000" pitchFamily="49" charset="-128"/>
            <a:ea typeface="BIZ UDゴシック" panose="020B0400000000000000" pitchFamily="49" charset="-128"/>
          </a:endParaRPr>
        </a:p>
        <a:p>
          <a:pPr algn="l"/>
          <a:r>
            <a:rPr kumimoji="1" lang="ja-JP" altLang="en-US" sz="1100">
              <a:solidFill>
                <a:schemeClr val="tx1"/>
              </a:solidFill>
              <a:latin typeface="BIZ UDゴシック" panose="020B0400000000000000" pitchFamily="49" charset="-128"/>
              <a:ea typeface="BIZ UDゴシック" panose="020B0400000000000000" pitchFamily="49" charset="-128"/>
            </a:rPr>
            <a:t>・プロジェクトコードは、外部資金のみ入力</a:t>
          </a:r>
        </a:p>
      </xdr:txBody>
    </xdr:sp>
    <xdr:clientData/>
  </xdr:twoCellAnchor>
  <mc:AlternateContent xmlns:mc="http://schemas.openxmlformats.org/markup-compatibility/2006">
    <mc:Choice xmlns:a14="http://schemas.microsoft.com/office/drawing/2010/main" Requires="a14">
      <xdr:twoCellAnchor editAs="oneCell">
        <xdr:from>
          <xdr:col>5</xdr:col>
          <xdr:colOff>190500</xdr:colOff>
          <xdr:row>4</xdr:row>
          <xdr:rowOff>19050</xdr:rowOff>
        </xdr:from>
        <xdr:to>
          <xdr:col>7</xdr:col>
          <xdr:colOff>123825</xdr:colOff>
          <xdr:row>5</xdr:row>
          <xdr:rowOff>0</xdr:rowOff>
        </xdr:to>
        <xdr:sp macro="" textlink="">
          <xdr:nvSpPr>
            <xdr:cNvPr id="33841" name="Option Button 49" hidden="1">
              <a:extLst>
                <a:ext uri="{63B3BB69-23CF-44E3-9099-C40C66FF867C}">
                  <a14:compatExt spid="_x0000_s33841"/>
                </a:ext>
                <a:ext uri="{FF2B5EF4-FFF2-40B4-BE49-F238E27FC236}">
                  <a16:creationId xmlns:a16="http://schemas.microsoft.com/office/drawing/2014/main" id="{00000000-0008-0000-0400-00003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4</xdr:row>
          <xdr:rowOff>0</xdr:rowOff>
        </xdr:from>
        <xdr:to>
          <xdr:col>14</xdr:col>
          <xdr:colOff>114300</xdr:colOff>
          <xdr:row>4</xdr:row>
          <xdr:rowOff>200025</xdr:rowOff>
        </xdr:to>
        <xdr:sp macro="" textlink="">
          <xdr:nvSpPr>
            <xdr:cNvPr id="33842" name="Option Button 50" hidden="1">
              <a:extLst>
                <a:ext uri="{63B3BB69-23CF-44E3-9099-C40C66FF867C}">
                  <a14:compatExt spid="_x0000_s33842"/>
                </a:ext>
                <a:ext uri="{FF2B5EF4-FFF2-40B4-BE49-F238E27FC236}">
                  <a16:creationId xmlns:a16="http://schemas.microsoft.com/office/drawing/2014/main" id="{00000000-0008-0000-0400-00003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180975</xdr:colOff>
          <xdr:row>4</xdr:row>
          <xdr:rowOff>0</xdr:rowOff>
        </xdr:from>
        <xdr:to>
          <xdr:col>21</xdr:col>
          <xdr:colOff>114300</xdr:colOff>
          <xdr:row>5</xdr:row>
          <xdr:rowOff>0</xdr:rowOff>
        </xdr:to>
        <xdr:sp macro="" textlink="">
          <xdr:nvSpPr>
            <xdr:cNvPr id="33843" name="Option Button 51" hidden="1">
              <a:extLst>
                <a:ext uri="{63B3BB69-23CF-44E3-9099-C40C66FF867C}">
                  <a14:compatExt spid="_x0000_s33843"/>
                </a:ext>
                <a:ext uri="{FF2B5EF4-FFF2-40B4-BE49-F238E27FC236}">
                  <a16:creationId xmlns:a16="http://schemas.microsoft.com/office/drawing/2014/main" id="{00000000-0008-0000-0400-00003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3</xdr:row>
          <xdr:rowOff>266700</xdr:rowOff>
        </xdr:from>
        <xdr:to>
          <xdr:col>26</xdr:col>
          <xdr:colOff>76200</xdr:colOff>
          <xdr:row>5</xdr:row>
          <xdr:rowOff>66675</xdr:rowOff>
        </xdr:to>
        <xdr:sp macro="" textlink="">
          <xdr:nvSpPr>
            <xdr:cNvPr id="33844" name="Group Box 52" hidden="1">
              <a:extLst>
                <a:ext uri="{63B3BB69-23CF-44E3-9099-C40C66FF867C}">
                  <a14:compatExt spid="_x0000_s33844"/>
                </a:ext>
                <a:ext uri="{FF2B5EF4-FFF2-40B4-BE49-F238E27FC236}">
                  <a16:creationId xmlns:a16="http://schemas.microsoft.com/office/drawing/2014/main" id="{00000000-0008-0000-0400-00003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161</a:t>
              </a:r>
            </a:p>
          </xdr:txBody>
        </xdr:sp>
        <xdr:clientData/>
      </xdr:twoCellAnchor>
    </mc:Choice>
    <mc:Fallback/>
  </mc:AlternateContent>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スパイス">
  <a:themeElements>
    <a:clrScheme name="スパイス">
      <a:dk1>
        <a:sysClr val="windowText" lastClr="000000"/>
      </a:dk1>
      <a:lt1>
        <a:sysClr val="window" lastClr="FFFFFF"/>
      </a:lt1>
      <a:dk2>
        <a:srgbClr val="575F6D"/>
      </a:dk2>
      <a:lt2>
        <a:srgbClr val="FFF39D"/>
      </a:lt2>
      <a:accent1>
        <a:srgbClr val="FE8637"/>
      </a:accent1>
      <a:accent2>
        <a:srgbClr val="7598D9"/>
      </a:accent2>
      <a:accent3>
        <a:srgbClr val="B32C16"/>
      </a:accent3>
      <a:accent4>
        <a:srgbClr val="F5CD2D"/>
      </a:accent4>
      <a:accent5>
        <a:srgbClr val="AEBAD5"/>
      </a:accent5>
      <a:accent6>
        <a:srgbClr val="777C84"/>
      </a:accent6>
      <a:hlink>
        <a:srgbClr val="D2611C"/>
      </a:hlink>
      <a:folHlink>
        <a:srgbClr val="3B435B"/>
      </a:folHlink>
    </a:clrScheme>
    <a:fontScheme name="スパイス">
      <a:majorFont>
        <a:latin typeface="Century Schoolbook"/>
        <a:ea typeface=""/>
        <a:cs typeface=""/>
        <a:font script="Jpan" typeface="ＭＳ Ｐ明朝"/>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entury Schoolbook"/>
        <a:ea typeface=""/>
        <a:cs typeface=""/>
        <a:font script="Jpan" typeface="ＭＳ Ｐ明朝"/>
        <a:font script="Hang" typeface="휴먼매직체"/>
        <a:font script="Hans" typeface="宋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スパイス">
      <a:fillStyleLst>
        <a:solidFill>
          <a:schemeClr val="phClr"/>
        </a:solidFill>
        <a:gradFill rotWithShape="1">
          <a:gsLst>
            <a:gs pos="0">
              <a:schemeClr val="phClr">
                <a:tint val="35000"/>
                <a:satMod val="260000"/>
              </a:schemeClr>
            </a:gs>
            <a:gs pos="30000">
              <a:schemeClr val="phClr">
                <a:tint val="38000"/>
                <a:satMod val="260000"/>
              </a:schemeClr>
            </a:gs>
            <a:gs pos="75000">
              <a:schemeClr val="phClr">
                <a:tint val="55000"/>
                <a:satMod val="255000"/>
              </a:schemeClr>
            </a:gs>
            <a:gs pos="100000">
              <a:schemeClr val="phClr">
                <a:tint val="70000"/>
                <a:satMod val="255000"/>
              </a:schemeClr>
            </a:gs>
          </a:gsLst>
          <a:path path="circle">
            <a:fillToRect l="5000" t="100000" r="120000" b="10000"/>
          </a:path>
        </a:gradFill>
        <a:gradFill rotWithShape="1">
          <a:gsLst>
            <a:gs pos="0">
              <a:schemeClr val="phClr">
                <a:shade val="63000"/>
                <a:satMod val="165000"/>
              </a:schemeClr>
            </a:gs>
            <a:gs pos="30000">
              <a:schemeClr val="phClr">
                <a:shade val="58000"/>
                <a:satMod val="165000"/>
              </a:schemeClr>
            </a:gs>
            <a:gs pos="75000">
              <a:schemeClr val="phClr">
                <a:shade val="30000"/>
                <a:satMod val="175000"/>
              </a:schemeClr>
            </a:gs>
            <a:gs pos="100000">
              <a:schemeClr val="phClr">
                <a:shade val="15000"/>
                <a:satMod val="175000"/>
              </a:schemeClr>
            </a:gs>
          </a:gsLst>
          <a:path path="circle">
            <a:fillToRect l="5000" t="100000" r="120000" b="10000"/>
          </a:path>
        </a:gradFill>
      </a:fillStyleLst>
      <a:lnStyleLst>
        <a:ln w="12700" cap="flat" cmpd="sng" algn="ctr">
          <a:solidFill>
            <a:schemeClr val="phClr">
              <a:shade val="70000"/>
              <a:satMod val="150000"/>
            </a:schemeClr>
          </a:solidFill>
          <a:prstDash val="solid"/>
        </a:ln>
        <a:ln w="25400" cap="flat" cmpd="sng" algn="ctr">
          <a:solidFill>
            <a:schemeClr val="phClr"/>
          </a:solidFill>
          <a:prstDash val="solid"/>
        </a:ln>
        <a:ln w="34925" cap="flat" cmpd="sng" algn="ctr">
          <a:solidFill>
            <a:schemeClr val="phClr"/>
          </a:solidFill>
          <a:prstDash val="solid"/>
        </a:ln>
      </a:lnStyleLst>
      <a:effectStyleLst>
        <a:effectStyle>
          <a:effectLst>
            <a:outerShdw blurRad="50800" dist="25000" dir="5400000" rotWithShape="0">
              <a:srgbClr val="000000">
                <a:alpha val="40000"/>
              </a:srgbClr>
            </a:outerShdw>
          </a:effectLst>
        </a:effectStyle>
        <a:effectStyle>
          <a:effectLst>
            <a:outerShdw blurRad="50800" dist="20000" dir="5400000" rotWithShape="0">
              <a:srgbClr val="000000">
                <a:alpha val="42000"/>
              </a:srgbClr>
            </a:outerShdw>
          </a:effectLst>
        </a:effectStyle>
        <a:effectStyle>
          <a:effectLst>
            <a:outerShdw blurRad="50800" dist="20000" dir="5400000" rotWithShape="0">
              <a:srgbClr val="000000">
                <a:alpha val="42000"/>
              </a:srgbClr>
            </a:outerShdw>
          </a:effectLst>
          <a:scene3d>
            <a:camera prst="orthographicFront">
              <a:rot lat="0" lon="0" rev="0"/>
            </a:camera>
            <a:lightRig rig="balanced" dir="t">
              <a:rot lat="0" lon="0" rev="0"/>
            </a:lightRig>
          </a:scene3d>
          <a:sp3d>
            <a:bevelT w="47625" h="69850"/>
            <a:contourClr>
              <a:schemeClr val="lt1"/>
            </a:contourClr>
          </a:sp3d>
        </a:effectStyle>
      </a:effectStyleLst>
      <a:bgFillStyleLst>
        <a:solidFill>
          <a:schemeClr val="phClr"/>
        </a:solidFill>
        <a:gradFill rotWithShape="1">
          <a:gsLst>
            <a:gs pos="0">
              <a:schemeClr val="phClr">
                <a:shade val="58000"/>
                <a:satMod val="125000"/>
              </a:schemeClr>
            </a:gs>
            <a:gs pos="40000">
              <a:schemeClr val="phClr">
                <a:tint val="90000"/>
                <a:shade val="90000"/>
                <a:satMod val="120000"/>
              </a:schemeClr>
            </a:gs>
            <a:gs pos="100000">
              <a:schemeClr val="phClr">
                <a:tint val="50000"/>
              </a:schemeClr>
            </a:gs>
          </a:gsLst>
          <a:lin ang="16200000" scaled="1"/>
        </a:gradFill>
        <a:blipFill>
          <a:blip xmlns:r="http://schemas.openxmlformats.org/officeDocument/2006/relationships" r:embed="rId1">
            <a:duotone>
              <a:schemeClr val="phClr">
                <a:shade val="80000"/>
              </a:schemeClr>
              <a:schemeClr val="phClr">
                <a:tint val="91000"/>
              </a:schemeClr>
            </a:duotone>
          </a:blip>
          <a:tile tx="0" ty="0" sx="40000" sy="50000" flip="y" algn="tl"/>
        </a:blip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2" Type="http://schemas.openxmlformats.org/officeDocument/2006/relationships/hyperlink" Target="http://www.nta.go.jp/taxes/shiraberu/taxanswer/gensen/2878.htm" TargetMode="External"/><Relationship Id="rId1" Type="http://schemas.openxmlformats.org/officeDocument/2006/relationships/hyperlink" Target="https://ksp.sec.tsukuba.ac.jp/wp/?page_id=13666" TargetMode="Externa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61.xml"/><Relationship Id="rId18" Type="http://schemas.openxmlformats.org/officeDocument/2006/relationships/ctrlProp" Target="../ctrlProps/ctrlProp66.xml"/><Relationship Id="rId26" Type="http://schemas.openxmlformats.org/officeDocument/2006/relationships/ctrlProp" Target="../ctrlProps/ctrlProp74.xml"/><Relationship Id="rId39" Type="http://schemas.openxmlformats.org/officeDocument/2006/relationships/ctrlProp" Target="../ctrlProps/ctrlProp87.xml"/><Relationship Id="rId21" Type="http://schemas.openxmlformats.org/officeDocument/2006/relationships/ctrlProp" Target="../ctrlProps/ctrlProp69.xml"/><Relationship Id="rId34" Type="http://schemas.openxmlformats.org/officeDocument/2006/relationships/ctrlProp" Target="../ctrlProps/ctrlProp82.xml"/><Relationship Id="rId42" Type="http://schemas.openxmlformats.org/officeDocument/2006/relationships/ctrlProp" Target="../ctrlProps/ctrlProp90.xml"/><Relationship Id="rId47" Type="http://schemas.openxmlformats.org/officeDocument/2006/relationships/ctrlProp" Target="../ctrlProps/ctrlProp95.xml"/><Relationship Id="rId50" Type="http://schemas.openxmlformats.org/officeDocument/2006/relationships/ctrlProp" Target="../ctrlProps/ctrlProp98.xml"/><Relationship Id="rId55" Type="http://schemas.openxmlformats.org/officeDocument/2006/relationships/ctrlProp" Target="../ctrlProps/ctrlProp103.xml"/><Relationship Id="rId7" Type="http://schemas.openxmlformats.org/officeDocument/2006/relationships/ctrlProp" Target="../ctrlProps/ctrlProp55.xml"/><Relationship Id="rId2" Type="http://schemas.openxmlformats.org/officeDocument/2006/relationships/printerSettings" Target="../printerSettings/printerSettings2.bin"/><Relationship Id="rId16" Type="http://schemas.openxmlformats.org/officeDocument/2006/relationships/ctrlProp" Target="../ctrlProps/ctrlProp64.xml"/><Relationship Id="rId29" Type="http://schemas.openxmlformats.org/officeDocument/2006/relationships/ctrlProp" Target="../ctrlProps/ctrlProp77.xml"/><Relationship Id="rId11" Type="http://schemas.openxmlformats.org/officeDocument/2006/relationships/ctrlProp" Target="../ctrlProps/ctrlProp59.xml"/><Relationship Id="rId24" Type="http://schemas.openxmlformats.org/officeDocument/2006/relationships/ctrlProp" Target="../ctrlProps/ctrlProp72.xml"/><Relationship Id="rId32" Type="http://schemas.openxmlformats.org/officeDocument/2006/relationships/ctrlProp" Target="../ctrlProps/ctrlProp80.xml"/><Relationship Id="rId37" Type="http://schemas.openxmlformats.org/officeDocument/2006/relationships/ctrlProp" Target="../ctrlProps/ctrlProp85.xml"/><Relationship Id="rId40" Type="http://schemas.openxmlformats.org/officeDocument/2006/relationships/ctrlProp" Target="../ctrlProps/ctrlProp88.xml"/><Relationship Id="rId45" Type="http://schemas.openxmlformats.org/officeDocument/2006/relationships/ctrlProp" Target="../ctrlProps/ctrlProp93.xml"/><Relationship Id="rId53" Type="http://schemas.openxmlformats.org/officeDocument/2006/relationships/ctrlProp" Target="../ctrlProps/ctrlProp101.xml"/><Relationship Id="rId5" Type="http://schemas.openxmlformats.org/officeDocument/2006/relationships/ctrlProp" Target="../ctrlProps/ctrlProp53.xml"/><Relationship Id="rId19" Type="http://schemas.openxmlformats.org/officeDocument/2006/relationships/ctrlProp" Target="../ctrlProps/ctrlProp67.xml"/><Relationship Id="rId4" Type="http://schemas.openxmlformats.org/officeDocument/2006/relationships/vmlDrawing" Target="../drawings/vmlDrawing2.vml"/><Relationship Id="rId9" Type="http://schemas.openxmlformats.org/officeDocument/2006/relationships/ctrlProp" Target="../ctrlProps/ctrlProp57.xml"/><Relationship Id="rId14" Type="http://schemas.openxmlformats.org/officeDocument/2006/relationships/ctrlProp" Target="../ctrlProps/ctrlProp62.xml"/><Relationship Id="rId22" Type="http://schemas.openxmlformats.org/officeDocument/2006/relationships/ctrlProp" Target="../ctrlProps/ctrlProp70.xml"/><Relationship Id="rId27" Type="http://schemas.openxmlformats.org/officeDocument/2006/relationships/ctrlProp" Target="../ctrlProps/ctrlProp75.xml"/><Relationship Id="rId30" Type="http://schemas.openxmlformats.org/officeDocument/2006/relationships/ctrlProp" Target="../ctrlProps/ctrlProp78.xml"/><Relationship Id="rId35" Type="http://schemas.openxmlformats.org/officeDocument/2006/relationships/ctrlProp" Target="../ctrlProps/ctrlProp83.xml"/><Relationship Id="rId43" Type="http://schemas.openxmlformats.org/officeDocument/2006/relationships/ctrlProp" Target="../ctrlProps/ctrlProp91.xml"/><Relationship Id="rId48" Type="http://schemas.openxmlformats.org/officeDocument/2006/relationships/ctrlProp" Target="../ctrlProps/ctrlProp96.xml"/><Relationship Id="rId56" Type="http://schemas.openxmlformats.org/officeDocument/2006/relationships/ctrlProp" Target="../ctrlProps/ctrlProp104.xml"/><Relationship Id="rId8" Type="http://schemas.openxmlformats.org/officeDocument/2006/relationships/ctrlProp" Target="../ctrlProps/ctrlProp56.xml"/><Relationship Id="rId51" Type="http://schemas.openxmlformats.org/officeDocument/2006/relationships/ctrlProp" Target="../ctrlProps/ctrlProp99.xml"/><Relationship Id="rId3" Type="http://schemas.openxmlformats.org/officeDocument/2006/relationships/drawing" Target="../drawings/drawing2.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33" Type="http://schemas.openxmlformats.org/officeDocument/2006/relationships/ctrlProp" Target="../ctrlProps/ctrlProp81.xml"/><Relationship Id="rId38" Type="http://schemas.openxmlformats.org/officeDocument/2006/relationships/ctrlProp" Target="../ctrlProps/ctrlProp86.xml"/><Relationship Id="rId46" Type="http://schemas.openxmlformats.org/officeDocument/2006/relationships/ctrlProp" Target="../ctrlProps/ctrlProp94.xml"/><Relationship Id="rId20" Type="http://schemas.openxmlformats.org/officeDocument/2006/relationships/ctrlProp" Target="../ctrlProps/ctrlProp68.xml"/><Relationship Id="rId41" Type="http://schemas.openxmlformats.org/officeDocument/2006/relationships/ctrlProp" Target="../ctrlProps/ctrlProp89.xml"/><Relationship Id="rId54" Type="http://schemas.openxmlformats.org/officeDocument/2006/relationships/ctrlProp" Target="../ctrlProps/ctrlProp102.xml"/><Relationship Id="rId1" Type="http://schemas.openxmlformats.org/officeDocument/2006/relationships/hyperlink" Target="mailto:aaaaaa@un.tsukuba.ac.jp" TargetMode="External"/><Relationship Id="rId6" Type="http://schemas.openxmlformats.org/officeDocument/2006/relationships/ctrlProp" Target="../ctrlProps/ctrlProp54.xml"/><Relationship Id="rId15" Type="http://schemas.openxmlformats.org/officeDocument/2006/relationships/ctrlProp" Target="../ctrlProps/ctrlProp63.xml"/><Relationship Id="rId23" Type="http://schemas.openxmlformats.org/officeDocument/2006/relationships/ctrlProp" Target="../ctrlProps/ctrlProp71.xml"/><Relationship Id="rId28" Type="http://schemas.openxmlformats.org/officeDocument/2006/relationships/ctrlProp" Target="../ctrlProps/ctrlProp76.xml"/><Relationship Id="rId36" Type="http://schemas.openxmlformats.org/officeDocument/2006/relationships/ctrlProp" Target="../ctrlProps/ctrlProp84.xml"/><Relationship Id="rId49" Type="http://schemas.openxmlformats.org/officeDocument/2006/relationships/ctrlProp" Target="../ctrlProps/ctrlProp97.xml"/><Relationship Id="rId57" Type="http://schemas.openxmlformats.org/officeDocument/2006/relationships/comments" Target="../comments2.xml"/><Relationship Id="rId10" Type="http://schemas.openxmlformats.org/officeDocument/2006/relationships/ctrlProp" Target="../ctrlProps/ctrlProp58.xml"/><Relationship Id="rId31" Type="http://schemas.openxmlformats.org/officeDocument/2006/relationships/ctrlProp" Target="../ctrlProps/ctrlProp79.xml"/><Relationship Id="rId44" Type="http://schemas.openxmlformats.org/officeDocument/2006/relationships/ctrlProp" Target="../ctrlProps/ctrlProp92.xml"/><Relationship Id="rId52" Type="http://schemas.openxmlformats.org/officeDocument/2006/relationships/ctrlProp" Target="../ctrlProps/ctrlProp100.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13.xml"/><Relationship Id="rId18" Type="http://schemas.openxmlformats.org/officeDocument/2006/relationships/ctrlProp" Target="../ctrlProps/ctrlProp118.xml"/><Relationship Id="rId26" Type="http://schemas.openxmlformats.org/officeDocument/2006/relationships/ctrlProp" Target="../ctrlProps/ctrlProp126.xml"/><Relationship Id="rId39" Type="http://schemas.openxmlformats.org/officeDocument/2006/relationships/ctrlProp" Target="../ctrlProps/ctrlProp139.xml"/><Relationship Id="rId21" Type="http://schemas.openxmlformats.org/officeDocument/2006/relationships/ctrlProp" Target="../ctrlProps/ctrlProp121.xml"/><Relationship Id="rId34" Type="http://schemas.openxmlformats.org/officeDocument/2006/relationships/ctrlProp" Target="../ctrlProps/ctrlProp134.xml"/><Relationship Id="rId42" Type="http://schemas.openxmlformats.org/officeDocument/2006/relationships/ctrlProp" Target="../ctrlProps/ctrlProp142.xml"/><Relationship Id="rId47" Type="http://schemas.openxmlformats.org/officeDocument/2006/relationships/ctrlProp" Target="../ctrlProps/ctrlProp147.xml"/><Relationship Id="rId50" Type="http://schemas.openxmlformats.org/officeDocument/2006/relationships/ctrlProp" Target="../ctrlProps/ctrlProp150.xml"/><Relationship Id="rId55" Type="http://schemas.openxmlformats.org/officeDocument/2006/relationships/ctrlProp" Target="../ctrlProps/ctrlProp155.xml"/><Relationship Id="rId7" Type="http://schemas.openxmlformats.org/officeDocument/2006/relationships/ctrlProp" Target="../ctrlProps/ctrlProp107.xml"/><Relationship Id="rId2" Type="http://schemas.openxmlformats.org/officeDocument/2006/relationships/printerSettings" Target="../printerSettings/printerSettings3.bin"/><Relationship Id="rId16" Type="http://schemas.openxmlformats.org/officeDocument/2006/relationships/ctrlProp" Target="../ctrlProps/ctrlProp116.xml"/><Relationship Id="rId29" Type="http://schemas.openxmlformats.org/officeDocument/2006/relationships/ctrlProp" Target="../ctrlProps/ctrlProp129.xml"/><Relationship Id="rId11" Type="http://schemas.openxmlformats.org/officeDocument/2006/relationships/ctrlProp" Target="../ctrlProps/ctrlProp111.xml"/><Relationship Id="rId24" Type="http://schemas.openxmlformats.org/officeDocument/2006/relationships/ctrlProp" Target="../ctrlProps/ctrlProp124.xml"/><Relationship Id="rId32" Type="http://schemas.openxmlformats.org/officeDocument/2006/relationships/ctrlProp" Target="../ctrlProps/ctrlProp132.xml"/><Relationship Id="rId37" Type="http://schemas.openxmlformats.org/officeDocument/2006/relationships/ctrlProp" Target="../ctrlProps/ctrlProp137.xml"/><Relationship Id="rId40" Type="http://schemas.openxmlformats.org/officeDocument/2006/relationships/ctrlProp" Target="../ctrlProps/ctrlProp140.xml"/><Relationship Id="rId45" Type="http://schemas.openxmlformats.org/officeDocument/2006/relationships/ctrlProp" Target="../ctrlProps/ctrlProp145.xml"/><Relationship Id="rId53" Type="http://schemas.openxmlformats.org/officeDocument/2006/relationships/ctrlProp" Target="../ctrlProps/ctrlProp153.xml"/><Relationship Id="rId5" Type="http://schemas.openxmlformats.org/officeDocument/2006/relationships/ctrlProp" Target="../ctrlProps/ctrlProp105.xml"/><Relationship Id="rId19" Type="http://schemas.openxmlformats.org/officeDocument/2006/relationships/ctrlProp" Target="../ctrlProps/ctrlProp119.xml"/><Relationship Id="rId4" Type="http://schemas.openxmlformats.org/officeDocument/2006/relationships/vmlDrawing" Target="../drawings/vmlDrawing3.vml"/><Relationship Id="rId9" Type="http://schemas.openxmlformats.org/officeDocument/2006/relationships/ctrlProp" Target="../ctrlProps/ctrlProp109.xml"/><Relationship Id="rId14" Type="http://schemas.openxmlformats.org/officeDocument/2006/relationships/ctrlProp" Target="../ctrlProps/ctrlProp114.xml"/><Relationship Id="rId22" Type="http://schemas.openxmlformats.org/officeDocument/2006/relationships/ctrlProp" Target="../ctrlProps/ctrlProp122.xml"/><Relationship Id="rId27" Type="http://schemas.openxmlformats.org/officeDocument/2006/relationships/ctrlProp" Target="../ctrlProps/ctrlProp127.xml"/><Relationship Id="rId30" Type="http://schemas.openxmlformats.org/officeDocument/2006/relationships/ctrlProp" Target="../ctrlProps/ctrlProp130.xml"/><Relationship Id="rId35" Type="http://schemas.openxmlformats.org/officeDocument/2006/relationships/ctrlProp" Target="../ctrlProps/ctrlProp135.xml"/><Relationship Id="rId43" Type="http://schemas.openxmlformats.org/officeDocument/2006/relationships/ctrlProp" Target="../ctrlProps/ctrlProp143.xml"/><Relationship Id="rId48" Type="http://schemas.openxmlformats.org/officeDocument/2006/relationships/ctrlProp" Target="../ctrlProps/ctrlProp148.xml"/><Relationship Id="rId56" Type="http://schemas.openxmlformats.org/officeDocument/2006/relationships/ctrlProp" Target="../ctrlProps/ctrlProp156.xml"/><Relationship Id="rId8" Type="http://schemas.openxmlformats.org/officeDocument/2006/relationships/ctrlProp" Target="../ctrlProps/ctrlProp108.xml"/><Relationship Id="rId51" Type="http://schemas.openxmlformats.org/officeDocument/2006/relationships/ctrlProp" Target="../ctrlProps/ctrlProp151.xml"/><Relationship Id="rId3" Type="http://schemas.openxmlformats.org/officeDocument/2006/relationships/drawing" Target="../drawings/drawing3.xml"/><Relationship Id="rId12" Type="http://schemas.openxmlformats.org/officeDocument/2006/relationships/ctrlProp" Target="../ctrlProps/ctrlProp112.xml"/><Relationship Id="rId17" Type="http://schemas.openxmlformats.org/officeDocument/2006/relationships/ctrlProp" Target="../ctrlProps/ctrlProp117.xml"/><Relationship Id="rId25" Type="http://schemas.openxmlformats.org/officeDocument/2006/relationships/ctrlProp" Target="../ctrlProps/ctrlProp125.xml"/><Relationship Id="rId33" Type="http://schemas.openxmlformats.org/officeDocument/2006/relationships/ctrlProp" Target="../ctrlProps/ctrlProp133.xml"/><Relationship Id="rId38" Type="http://schemas.openxmlformats.org/officeDocument/2006/relationships/ctrlProp" Target="../ctrlProps/ctrlProp138.xml"/><Relationship Id="rId46" Type="http://schemas.openxmlformats.org/officeDocument/2006/relationships/ctrlProp" Target="../ctrlProps/ctrlProp146.xml"/><Relationship Id="rId20" Type="http://schemas.openxmlformats.org/officeDocument/2006/relationships/ctrlProp" Target="../ctrlProps/ctrlProp120.xml"/><Relationship Id="rId41" Type="http://schemas.openxmlformats.org/officeDocument/2006/relationships/ctrlProp" Target="../ctrlProps/ctrlProp141.xml"/><Relationship Id="rId54" Type="http://schemas.openxmlformats.org/officeDocument/2006/relationships/ctrlProp" Target="../ctrlProps/ctrlProp154.xml"/><Relationship Id="rId1" Type="http://schemas.openxmlformats.org/officeDocument/2006/relationships/hyperlink" Target="mailto:aaaaaa@un.tsukuba.ac.jp" TargetMode="External"/><Relationship Id="rId6" Type="http://schemas.openxmlformats.org/officeDocument/2006/relationships/ctrlProp" Target="../ctrlProps/ctrlProp106.xml"/><Relationship Id="rId15" Type="http://schemas.openxmlformats.org/officeDocument/2006/relationships/ctrlProp" Target="../ctrlProps/ctrlProp115.xml"/><Relationship Id="rId23" Type="http://schemas.openxmlformats.org/officeDocument/2006/relationships/ctrlProp" Target="../ctrlProps/ctrlProp123.xml"/><Relationship Id="rId28" Type="http://schemas.openxmlformats.org/officeDocument/2006/relationships/ctrlProp" Target="../ctrlProps/ctrlProp128.xml"/><Relationship Id="rId36" Type="http://schemas.openxmlformats.org/officeDocument/2006/relationships/ctrlProp" Target="../ctrlProps/ctrlProp136.xml"/><Relationship Id="rId49" Type="http://schemas.openxmlformats.org/officeDocument/2006/relationships/ctrlProp" Target="../ctrlProps/ctrlProp149.xml"/><Relationship Id="rId57" Type="http://schemas.openxmlformats.org/officeDocument/2006/relationships/comments" Target="../comments3.xml"/><Relationship Id="rId10" Type="http://schemas.openxmlformats.org/officeDocument/2006/relationships/ctrlProp" Target="../ctrlProps/ctrlProp110.xml"/><Relationship Id="rId31" Type="http://schemas.openxmlformats.org/officeDocument/2006/relationships/ctrlProp" Target="../ctrlProps/ctrlProp131.xml"/><Relationship Id="rId44" Type="http://schemas.openxmlformats.org/officeDocument/2006/relationships/ctrlProp" Target="../ctrlProps/ctrlProp144.xml"/><Relationship Id="rId52" Type="http://schemas.openxmlformats.org/officeDocument/2006/relationships/ctrlProp" Target="../ctrlProps/ctrlProp15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2:BR43"/>
  <sheetViews>
    <sheetView tabSelected="1" view="pageBreakPreview" topLeftCell="A21" zoomScale="90" zoomScaleNormal="100" zoomScaleSheetLayoutView="90" workbookViewId="0">
      <selection activeCell="G27" sqref="G27:I27"/>
    </sheetView>
  </sheetViews>
  <sheetFormatPr defaultColWidth="2.625" defaultRowHeight="18.75" customHeight="1"/>
  <cols>
    <col min="1" max="1" width="2.5" style="25" customWidth="1"/>
    <col min="2" max="6" width="2.625" style="25"/>
    <col min="7" max="7" width="2.625" style="25" customWidth="1"/>
    <col min="8" max="32" width="2.625" style="25"/>
    <col min="33" max="33" width="2.75" style="25" customWidth="1"/>
    <col min="34" max="36" width="2.625" style="25"/>
    <col min="37" max="37" width="2.25" style="25" customWidth="1"/>
    <col min="38" max="38" width="2.5" style="25" customWidth="1"/>
    <col min="39" max="40" width="3.375" style="1" hidden="1" customWidth="1"/>
    <col min="41" max="41" width="3.375" style="1" customWidth="1"/>
    <col min="42" max="42" width="28" style="1" bestFit="1" customWidth="1"/>
    <col min="43" max="45" width="3.375" style="1" customWidth="1"/>
    <col min="46" max="69" width="2.625" style="1"/>
    <col min="70" max="70" width="0" style="1" hidden="1" customWidth="1"/>
    <col min="71" max="16384" width="2.625" style="1"/>
  </cols>
  <sheetData>
    <row r="2" spans="1:70" ht="22.5" customHeight="1" thickBot="1">
      <c r="A2" s="135" t="s">
        <v>0</v>
      </c>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row>
    <row r="3" spans="1:70" ht="14.25" thickTop="1">
      <c r="B3" s="25" t="s">
        <v>1</v>
      </c>
      <c r="BR3" s="1" t="s">
        <v>2</v>
      </c>
    </row>
    <row r="4" spans="1:70" ht="20.25" customHeight="1">
      <c r="A4" s="136" t="s">
        <v>3</v>
      </c>
      <c r="B4" s="137"/>
      <c r="C4" s="137"/>
      <c r="D4" s="137"/>
      <c r="E4" s="137"/>
      <c r="F4" s="138"/>
      <c r="G4" s="142" t="s">
        <v>319</v>
      </c>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4"/>
      <c r="BR4" s="1" t="s">
        <v>4</v>
      </c>
    </row>
    <row r="5" spans="1:70" ht="22.5" customHeight="1">
      <c r="A5" s="139"/>
      <c r="B5" s="140"/>
      <c r="C5" s="140"/>
      <c r="D5" s="140"/>
      <c r="E5" s="140"/>
      <c r="F5" s="141"/>
      <c r="G5" s="145"/>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46"/>
      <c r="AL5" s="147"/>
      <c r="BR5" s="1" t="s">
        <v>5</v>
      </c>
    </row>
    <row r="6" spans="1:70" ht="16.5" customHeight="1">
      <c r="A6" s="139"/>
      <c r="B6" s="140"/>
      <c r="C6" s="140"/>
      <c r="D6" s="140"/>
      <c r="E6" s="140"/>
      <c r="F6" s="141"/>
      <c r="G6" s="69"/>
      <c r="H6" s="87" t="s">
        <v>6</v>
      </c>
      <c r="I6" s="87"/>
      <c r="J6" s="87"/>
      <c r="K6" s="87"/>
      <c r="L6" s="87"/>
      <c r="N6" s="70"/>
      <c r="O6" s="88" t="s">
        <v>7</v>
      </c>
      <c r="P6" s="88"/>
      <c r="Q6" s="88"/>
      <c r="R6" s="88"/>
      <c r="S6" s="88"/>
      <c r="U6" s="70"/>
      <c r="V6" s="88" t="s">
        <v>8</v>
      </c>
      <c r="W6" s="88"/>
      <c r="X6" s="88"/>
      <c r="Y6" s="88"/>
      <c r="Z6" s="88"/>
      <c r="AB6" s="71" t="s">
        <v>9</v>
      </c>
      <c r="AL6" s="30"/>
      <c r="AM6" s="1">
        <v>0</v>
      </c>
    </row>
    <row r="7" spans="1:70" ht="28.5" customHeight="1">
      <c r="A7" s="154" t="s">
        <v>10</v>
      </c>
      <c r="B7" s="136" t="s">
        <v>11</v>
      </c>
      <c r="C7" s="137"/>
      <c r="D7" s="137"/>
      <c r="E7" s="137"/>
      <c r="F7" s="138"/>
      <c r="G7" s="97" t="s">
        <v>318</v>
      </c>
      <c r="H7" s="97"/>
      <c r="I7" s="97"/>
      <c r="J7" s="97"/>
      <c r="K7" s="97"/>
      <c r="L7" s="97"/>
      <c r="M7" s="97"/>
      <c r="N7" s="97"/>
      <c r="O7" s="97"/>
      <c r="P7" s="97"/>
      <c r="Q7" s="97"/>
      <c r="R7" s="97"/>
      <c r="S7" s="97"/>
      <c r="T7" s="98"/>
      <c r="U7" s="103" t="s">
        <v>12</v>
      </c>
      <c r="V7" s="103"/>
      <c r="W7" s="103"/>
      <c r="X7" s="103"/>
      <c r="Y7" s="97" t="s">
        <v>318</v>
      </c>
      <c r="Z7" s="97"/>
      <c r="AA7" s="97"/>
      <c r="AB7" s="97"/>
      <c r="AC7" s="97"/>
      <c r="AD7" s="97"/>
      <c r="AE7" s="97"/>
      <c r="AF7" s="97"/>
      <c r="AG7" s="97"/>
      <c r="AH7" s="97"/>
      <c r="AI7" s="97"/>
      <c r="AJ7" s="97"/>
      <c r="AK7" s="97"/>
      <c r="AL7" s="98"/>
    </row>
    <row r="8" spans="1:70" ht="17.25" customHeight="1">
      <c r="A8" s="154"/>
      <c r="B8" s="89" t="s">
        <v>13</v>
      </c>
      <c r="C8" s="91" t="s">
        <v>14</v>
      </c>
      <c r="D8" s="92"/>
      <c r="E8" s="92"/>
      <c r="F8" s="93"/>
      <c r="G8" s="97" t="s">
        <v>318</v>
      </c>
      <c r="H8" s="97"/>
      <c r="I8" s="97"/>
      <c r="J8" s="97"/>
      <c r="K8" s="97"/>
      <c r="L8" s="97"/>
      <c r="M8" s="97"/>
      <c r="N8" s="97"/>
      <c r="O8" s="97"/>
      <c r="P8" s="97"/>
      <c r="Q8" s="97"/>
      <c r="R8" s="97"/>
      <c r="S8" s="97"/>
      <c r="T8" s="98"/>
      <c r="U8" s="103" t="s">
        <v>15</v>
      </c>
      <c r="V8" s="103"/>
      <c r="W8" s="103"/>
      <c r="X8" s="103"/>
      <c r="Y8" s="99" t="s">
        <v>318</v>
      </c>
      <c r="Z8" s="99"/>
      <c r="AA8" s="99"/>
      <c r="AB8" s="99"/>
      <c r="AC8" s="99"/>
      <c r="AD8" s="99"/>
      <c r="AE8" s="99"/>
      <c r="AF8" s="99"/>
      <c r="AG8" s="99"/>
      <c r="AH8" s="99"/>
      <c r="AI8" s="99"/>
      <c r="AJ8" s="99"/>
      <c r="AK8" s="99"/>
      <c r="AL8" s="100"/>
    </row>
    <row r="9" spans="1:70" ht="18" customHeight="1">
      <c r="A9" s="154"/>
      <c r="B9" s="90"/>
      <c r="C9" s="94" t="s">
        <v>16</v>
      </c>
      <c r="D9" s="95"/>
      <c r="E9" s="95"/>
      <c r="F9" s="96"/>
      <c r="G9" s="97" t="s">
        <v>318</v>
      </c>
      <c r="H9" s="97"/>
      <c r="I9" s="97"/>
      <c r="J9" s="97"/>
      <c r="K9" s="97"/>
      <c r="L9" s="97"/>
      <c r="M9" s="97"/>
      <c r="N9" s="97"/>
      <c r="O9" s="97"/>
      <c r="P9" s="97"/>
      <c r="Q9" s="97"/>
      <c r="R9" s="97"/>
      <c r="S9" s="97"/>
      <c r="T9" s="98"/>
      <c r="U9" s="104"/>
      <c r="V9" s="104"/>
      <c r="W9" s="104"/>
      <c r="X9" s="104"/>
      <c r="Y9" s="101"/>
      <c r="Z9" s="101"/>
      <c r="AA9" s="101"/>
      <c r="AB9" s="101"/>
      <c r="AC9" s="101"/>
      <c r="AD9" s="101"/>
      <c r="AE9" s="101"/>
      <c r="AF9" s="101"/>
      <c r="AG9" s="101"/>
      <c r="AH9" s="101"/>
      <c r="AI9" s="101"/>
      <c r="AJ9" s="101"/>
      <c r="AK9" s="101"/>
      <c r="AL9" s="102"/>
    </row>
    <row r="10" spans="1:70" ht="21" customHeight="1">
      <c r="A10" s="78" t="s">
        <v>17</v>
      </c>
      <c r="B10" s="79"/>
      <c r="C10" s="79"/>
      <c r="D10" s="79"/>
      <c r="E10" s="79"/>
      <c r="F10" s="80"/>
      <c r="G10" s="105" t="s">
        <v>18</v>
      </c>
      <c r="H10" s="106"/>
      <c r="I10" s="107"/>
      <c r="J10" s="113"/>
      <c r="K10" s="114"/>
      <c r="L10" s="114"/>
      <c r="M10" s="114"/>
      <c r="N10" s="114"/>
      <c r="O10" s="114"/>
      <c r="P10" s="114"/>
      <c r="Q10" s="115"/>
      <c r="R10" s="25" t="s">
        <v>19</v>
      </c>
      <c r="S10" s="105" t="s">
        <v>20</v>
      </c>
      <c r="T10" s="106"/>
      <c r="U10" s="107"/>
      <c r="V10" s="113">
        <v>46418</v>
      </c>
      <c r="W10" s="114"/>
      <c r="X10" s="114"/>
      <c r="Y10" s="114"/>
      <c r="Z10" s="114"/>
      <c r="AA10" s="114"/>
      <c r="AB10" s="114"/>
      <c r="AC10" s="115"/>
      <c r="AE10" s="25" t="s">
        <v>21</v>
      </c>
      <c r="AF10" s="161">
        <f>IF(V10="","",DATEDIF(J10,V10,"d")+1)</f>
        <v>46419</v>
      </c>
      <c r="AG10" s="161"/>
      <c r="AH10" s="25" t="s">
        <v>22</v>
      </c>
      <c r="AJ10" s="25" t="s">
        <v>23</v>
      </c>
      <c r="AL10" s="30"/>
    </row>
    <row r="11" spans="1:70" ht="21" customHeight="1">
      <c r="A11" s="155"/>
      <c r="B11" s="156"/>
      <c r="C11" s="156"/>
      <c r="D11" s="156"/>
      <c r="E11" s="156"/>
      <c r="F11" s="157"/>
      <c r="G11" s="105" t="s">
        <v>24</v>
      </c>
      <c r="H11" s="106"/>
      <c r="I11" s="107"/>
      <c r="J11" s="109">
        <v>0.33333333333333331</v>
      </c>
      <c r="K11" s="110"/>
      <c r="L11" s="110"/>
      <c r="M11" s="110"/>
      <c r="N11" s="110"/>
      <c r="O11" s="110"/>
      <c r="P11" s="110"/>
      <c r="Q11" s="111"/>
      <c r="R11" s="25" t="s">
        <v>25</v>
      </c>
      <c r="S11" s="105" t="s">
        <v>26</v>
      </c>
      <c r="T11" s="106"/>
      <c r="U11" s="107"/>
      <c r="V11" s="109">
        <v>0.5</v>
      </c>
      <c r="W11" s="110"/>
      <c r="X11" s="110"/>
      <c r="Y11" s="110"/>
      <c r="Z11" s="110"/>
      <c r="AA11" s="110"/>
      <c r="AB11" s="110"/>
      <c r="AC11" s="111"/>
      <c r="AE11" s="25" t="s">
        <v>21</v>
      </c>
      <c r="AF11" s="161">
        <f>IF(V11="","",24*(V11-J11))</f>
        <v>4</v>
      </c>
      <c r="AG11" s="161"/>
      <c r="AH11" s="25" t="s">
        <v>27</v>
      </c>
      <c r="AJ11" s="25" t="s">
        <v>23</v>
      </c>
      <c r="AL11" s="30"/>
    </row>
    <row r="12" spans="1:70" ht="21" customHeight="1">
      <c r="A12" s="158"/>
      <c r="B12" s="159"/>
      <c r="C12" s="159"/>
      <c r="D12" s="159"/>
      <c r="E12" s="159"/>
      <c r="F12" s="160"/>
      <c r="G12" s="134" t="s">
        <v>28</v>
      </c>
      <c r="H12" s="134"/>
      <c r="I12" s="134"/>
      <c r="J12" s="134"/>
      <c r="K12" s="134"/>
      <c r="L12" s="134"/>
      <c r="M12" s="134"/>
      <c r="N12" s="134"/>
      <c r="O12" s="134"/>
      <c r="P12" s="134"/>
      <c r="Q12" s="134"/>
      <c r="R12" s="134"/>
      <c r="S12" s="119"/>
      <c r="T12" s="119"/>
      <c r="U12" s="119"/>
      <c r="V12" s="119"/>
      <c r="W12" s="119"/>
      <c r="X12" s="119"/>
      <c r="Y12" s="119"/>
      <c r="Z12" s="119"/>
      <c r="AA12" s="119"/>
      <c r="AB12" s="119"/>
      <c r="AC12" s="119"/>
      <c r="AD12" s="119"/>
      <c r="AE12" s="119"/>
      <c r="AF12" s="119"/>
      <c r="AG12" s="119"/>
      <c r="AH12" s="119"/>
      <c r="AI12" s="119"/>
      <c r="AJ12" s="119"/>
      <c r="AK12" s="119"/>
      <c r="AL12" s="119"/>
    </row>
    <row r="13" spans="1:70" ht="20.25" customHeight="1">
      <c r="A13" s="78" t="s">
        <v>29</v>
      </c>
      <c r="B13" s="79"/>
      <c r="C13" s="79"/>
      <c r="D13" s="79"/>
      <c r="E13" s="79"/>
      <c r="F13" s="80"/>
      <c r="G13" s="59"/>
      <c r="H13" s="170" t="s">
        <v>30</v>
      </c>
      <c r="I13" s="170"/>
      <c r="J13" s="170"/>
      <c r="K13" s="170"/>
      <c r="L13" s="63"/>
      <c r="M13" s="58"/>
      <c r="N13" s="108" t="s">
        <v>31</v>
      </c>
      <c r="O13" s="108"/>
      <c r="P13" s="63" t="s">
        <v>32</v>
      </c>
      <c r="Q13" s="120" t="s">
        <v>33</v>
      </c>
      <c r="R13" s="120"/>
      <c r="S13" s="120"/>
      <c r="T13" s="121"/>
      <c r="U13" s="122"/>
      <c r="V13" s="122"/>
      <c r="W13" s="122"/>
      <c r="X13" s="122"/>
      <c r="Y13" s="122"/>
      <c r="Z13" s="122"/>
      <c r="AA13" s="122"/>
      <c r="AB13" s="122"/>
      <c r="AC13" s="122"/>
      <c r="AD13" s="122"/>
      <c r="AE13" s="122"/>
      <c r="AF13" s="122"/>
      <c r="AG13" s="122"/>
      <c r="AH13" s="122"/>
      <c r="AI13" s="122"/>
      <c r="AJ13" s="122"/>
      <c r="AK13" s="122"/>
      <c r="AL13" s="122"/>
      <c r="AM13" s="1">
        <v>1</v>
      </c>
    </row>
    <row r="14" spans="1:70" ht="27" customHeight="1">
      <c r="A14" s="81"/>
      <c r="B14" s="82"/>
      <c r="C14" s="82"/>
      <c r="D14" s="82"/>
      <c r="E14" s="82"/>
      <c r="F14" s="83"/>
      <c r="G14" s="64" t="s">
        <v>34</v>
      </c>
      <c r="H14" s="34"/>
      <c r="I14" s="33"/>
      <c r="J14" s="116" t="s">
        <v>317</v>
      </c>
      <c r="K14" s="117"/>
      <c r="L14" s="117"/>
      <c r="M14" s="117"/>
      <c r="N14" s="117"/>
      <c r="O14" s="117"/>
      <c r="P14" s="118"/>
      <c r="Q14" s="119" t="s">
        <v>35</v>
      </c>
      <c r="R14" s="119"/>
      <c r="S14" s="119"/>
      <c r="T14" s="119"/>
      <c r="U14" s="119"/>
      <c r="V14" s="119"/>
      <c r="W14" s="119"/>
      <c r="X14" s="119"/>
      <c r="Y14" s="119"/>
      <c r="Z14" s="119"/>
      <c r="AA14" s="119"/>
      <c r="AB14" s="119"/>
      <c r="AC14" s="119"/>
      <c r="AD14" s="119"/>
      <c r="AE14" s="119"/>
      <c r="AF14" s="119"/>
      <c r="AG14" s="119"/>
      <c r="AH14" s="119"/>
      <c r="AI14" s="119"/>
      <c r="AJ14" s="119"/>
      <c r="AK14" s="119"/>
      <c r="AL14" s="119"/>
    </row>
    <row r="15" spans="1:70" ht="13.5">
      <c r="A15" s="162" t="s">
        <v>36</v>
      </c>
      <c r="B15" s="163"/>
      <c r="C15" s="163"/>
      <c r="D15" s="163"/>
      <c r="E15" s="163"/>
      <c r="F15" s="163"/>
      <c r="G15" s="164" t="s">
        <v>37</v>
      </c>
      <c r="H15" s="165"/>
      <c r="I15" s="165"/>
      <c r="J15" s="166"/>
      <c r="K15" s="164" t="s">
        <v>38</v>
      </c>
      <c r="L15" s="165"/>
      <c r="M15" s="165"/>
      <c r="N15" s="165"/>
      <c r="O15" s="165"/>
      <c r="P15" s="166"/>
      <c r="Q15" s="164" t="s">
        <v>39</v>
      </c>
      <c r="R15" s="165"/>
      <c r="S15" s="165"/>
      <c r="T15" s="165"/>
      <c r="U15" s="165"/>
      <c r="V15" s="165"/>
      <c r="W15" s="165"/>
      <c r="X15" s="165"/>
      <c r="Y15" s="165"/>
      <c r="Z15" s="165"/>
      <c r="AA15" s="165"/>
      <c r="AB15" s="165"/>
      <c r="AC15" s="165"/>
      <c r="AD15" s="165"/>
      <c r="AE15" s="165"/>
      <c r="AF15" s="165"/>
      <c r="AG15" s="165"/>
      <c r="AH15" s="165"/>
      <c r="AI15" s="165"/>
      <c r="AJ15" s="165"/>
      <c r="AK15" s="165"/>
      <c r="AL15" s="166"/>
    </row>
    <row r="16" spans="1:70" ht="19.5" customHeight="1">
      <c r="A16" s="162"/>
      <c r="B16" s="163"/>
      <c r="C16" s="163"/>
      <c r="D16" s="163"/>
      <c r="E16" s="163"/>
      <c r="F16" s="163"/>
      <c r="G16" s="133" t="s">
        <v>40</v>
      </c>
      <c r="H16" s="126"/>
      <c r="I16" s="126"/>
      <c r="J16" s="127"/>
      <c r="K16" s="84" t="s">
        <v>41</v>
      </c>
      <c r="L16" s="85"/>
      <c r="M16" s="85"/>
      <c r="N16" s="85"/>
      <c r="O16" s="85"/>
      <c r="P16" s="86"/>
      <c r="Q16" s="167"/>
      <c r="R16" s="168"/>
      <c r="S16" s="168"/>
      <c r="T16" s="168"/>
      <c r="U16" s="168"/>
      <c r="V16" s="168"/>
      <c r="W16" s="168"/>
      <c r="X16" s="168"/>
      <c r="Y16" s="168"/>
      <c r="Z16" s="168"/>
      <c r="AA16" s="168"/>
      <c r="AB16" s="168"/>
      <c r="AC16" s="168"/>
      <c r="AD16" s="168"/>
      <c r="AE16" s="168"/>
      <c r="AF16" s="168"/>
      <c r="AG16" s="168"/>
      <c r="AH16" s="168"/>
      <c r="AI16" s="168"/>
      <c r="AJ16" s="168"/>
      <c r="AK16" s="168"/>
      <c r="AL16" s="169"/>
      <c r="AP16" s="1" t="s">
        <v>42</v>
      </c>
    </row>
    <row r="17" spans="1:46" ht="19.5" customHeight="1">
      <c r="A17" s="162"/>
      <c r="B17" s="163"/>
      <c r="C17" s="163"/>
      <c r="D17" s="163"/>
      <c r="E17" s="163"/>
      <c r="F17" s="163"/>
      <c r="G17" s="133" t="s">
        <v>43</v>
      </c>
      <c r="H17" s="126"/>
      <c r="I17" s="126"/>
      <c r="J17" s="127"/>
      <c r="K17" s="84"/>
      <c r="L17" s="85"/>
      <c r="M17" s="85"/>
      <c r="N17" s="85"/>
      <c r="O17" s="85"/>
      <c r="P17" s="86"/>
      <c r="Q17" s="167"/>
      <c r="R17" s="168"/>
      <c r="S17" s="168"/>
      <c r="T17" s="168"/>
      <c r="U17" s="168"/>
      <c r="V17" s="168"/>
      <c r="W17" s="168"/>
      <c r="X17" s="168"/>
      <c r="Y17" s="168"/>
      <c r="Z17" s="168"/>
      <c r="AA17" s="168"/>
      <c r="AB17" s="168"/>
      <c r="AC17" s="168"/>
      <c r="AD17" s="168"/>
      <c r="AE17" s="168"/>
      <c r="AF17" s="168"/>
      <c r="AG17" s="168"/>
      <c r="AH17" s="168"/>
      <c r="AI17" s="168"/>
      <c r="AJ17" s="168"/>
      <c r="AK17" s="168"/>
      <c r="AL17" s="169"/>
      <c r="AP17" s="72" t="s">
        <v>44</v>
      </c>
      <c r="AQ17" s="76">
        <f>AQ18*AQ19/60</f>
        <v>0</v>
      </c>
      <c r="AR17" s="76"/>
      <c r="AS17" s="76"/>
      <c r="AT17" s="75" t="s">
        <v>45</v>
      </c>
    </row>
    <row r="18" spans="1:46" ht="19.5" customHeight="1">
      <c r="A18" s="162"/>
      <c r="B18" s="163"/>
      <c r="C18" s="163"/>
      <c r="D18" s="163"/>
      <c r="E18" s="163"/>
      <c r="F18" s="163"/>
      <c r="G18" s="133" t="s">
        <v>46</v>
      </c>
      <c r="H18" s="126"/>
      <c r="I18" s="126"/>
      <c r="J18" s="127"/>
      <c r="K18" s="84"/>
      <c r="L18" s="85"/>
      <c r="M18" s="85"/>
      <c r="N18" s="85"/>
      <c r="O18" s="85"/>
      <c r="P18" s="86"/>
      <c r="Q18" s="167"/>
      <c r="R18" s="168"/>
      <c r="S18" s="168"/>
      <c r="T18" s="168"/>
      <c r="U18" s="168"/>
      <c r="V18" s="168"/>
      <c r="W18" s="168"/>
      <c r="X18" s="168"/>
      <c r="Y18" s="168"/>
      <c r="Z18" s="168"/>
      <c r="AA18" s="168"/>
      <c r="AB18" s="168"/>
      <c r="AC18" s="168"/>
      <c r="AD18" s="168"/>
      <c r="AE18" s="168"/>
      <c r="AF18" s="168"/>
      <c r="AG18" s="168"/>
      <c r="AH18" s="168"/>
      <c r="AI18" s="168"/>
      <c r="AJ18" s="168"/>
      <c r="AK18" s="168"/>
      <c r="AL18" s="169"/>
      <c r="AP18" s="72" t="s">
        <v>47</v>
      </c>
      <c r="AQ18" s="77"/>
      <c r="AR18" s="77"/>
      <c r="AS18" s="77"/>
    </row>
    <row r="19" spans="1:46" ht="19.5" customHeight="1">
      <c r="A19" s="162"/>
      <c r="B19" s="163"/>
      <c r="C19" s="163"/>
      <c r="D19" s="163"/>
      <c r="E19" s="163"/>
      <c r="F19" s="163"/>
      <c r="G19" s="133" t="s">
        <v>48</v>
      </c>
      <c r="H19" s="126"/>
      <c r="I19" s="126"/>
      <c r="J19" s="127"/>
      <c r="K19" s="84"/>
      <c r="L19" s="85"/>
      <c r="M19" s="85"/>
      <c r="N19" s="85"/>
      <c r="O19" s="85"/>
      <c r="P19" s="86"/>
      <c r="Q19" s="167"/>
      <c r="R19" s="168"/>
      <c r="S19" s="168"/>
      <c r="T19" s="168"/>
      <c r="U19" s="168"/>
      <c r="V19" s="168"/>
      <c r="W19" s="168"/>
      <c r="X19" s="168"/>
      <c r="Y19" s="168"/>
      <c r="Z19" s="168"/>
      <c r="AA19" s="168"/>
      <c r="AB19" s="168"/>
      <c r="AC19" s="168"/>
      <c r="AD19" s="168"/>
      <c r="AE19" s="168"/>
      <c r="AF19" s="168"/>
      <c r="AG19" s="168"/>
      <c r="AH19" s="168"/>
      <c r="AI19" s="168"/>
      <c r="AJ19" s="168"/>
      <c r="AK19" s="168"/>
      <c r="AL19" s="169"/>
      <c r="AP19" s="72" t="s">
        <v>49</v>
      </c>
      <c r="AQ19" s="77"/>
      <c r="AR19" s="77"/>
      <c r="AS19" s="77"/>
    </row>
    <row r="20" spans="1:46" ht="19.5" customHeight="1">
      <c r="A20" s="162"/>
      <c r="B20" s="163"/>
      <c r="C20" s="163"/>
      <c r="D20" s="163"/>
      <c r="E20" s="163"/>
      <c r="F20" s="163"/>
      <c r="G20" s="133" t="s">
        <v>50</v>
      </c>
      <c r="H20" s="126"/>
      <c r="I20" s="126"/>
      <c r="J20" s="127"/>
      <c r="K20" s="84"/>
      <c r="L20" s="85"/>
      <c r="M20" s="85"/>
      <c r="N20" s="85"/>
      <c r="O20" s="85"/>
      <c r="P20" s="86"/>
      <c r="Q20" s="167"/>
      <c r="R20" s="168"/>
      <c r="S20" s="168"/>
      <c r="T20" s="168"/>
      <c r="U20" s="168"/>
      <c r="V20" s="168"/>
      <c r="W20" s="168"/>
      <c r="X20" s="168"/>
      <c r="Y20" s="168"/>
      <c r="Z20" s="168"/>
      <c r="AA20" s="168"/>
      <c r="AB20" s="168"/>
      <c r="AC20" s="168"/>
      <c r="AD20" s="168"/>
      <c r="AE20" s="168"/>
      <c r="AF20" s="168"/>
      <c r="AG20" s="168"/>
      <c r="AH20" s="168"/>
      <c r="AI20" s="168"/>
      <c r="AJ20" s="168"/>
      <c r="AK20" s="168"/>
      <c r="AL20" s="169"/>
    </row>
    <row r="21" spans="1:46" ht="24.75" customHeight="1">
      <c r="A21" s="154" t="s">
        <v>51</v>
      </c>
      <c r="B21" s="209" t="s">
        <v>52</v>
      </c>
      <c r="C21" s="210"/>
      <c r="D21" s="210"/>
      <c r="E21" s="210"/>
      <c r="F21" s="211"/>
      <c r="G21" s="31"/>
      <c r="H21" s="32" t="s">
        <v>53</v>
      </c>
      <c r="I21" s="32"/>
      <c r="J21" s="32"/>
      <c r="K21" s="32"/>
      <c r="L21" s="33"/>
      <c r="M21" s="33"/>
      <c r="N21" s="33"/>
      <c r="O21" s="32" t="s">
        <v>54</v>
      </c>
      <c r="P21" s="32"/>
      <c r="Q21" s="32"/>
      <c r="R21" s="32"/>
      <c r="S21" s="34"/>
      <c r="T21" s="34"/>
      <c r="U21" s="33"/>
      <c r="V21" s="32" t="s">
        <v>55</v>
      </c>
      <c r="W21" s="32"/>
      <c r="X21" s="32"/>
      <c r="Y21" s="32"/>
      <c r="Z21" s="34"/>
      <c r="AA21" s="57" t="str">
        <f>IF($AM$21=0,"←ボタンを選択してください",IF($AM$21=1,"↓謝金詳細を入力してください","⑨については入力完了です"))</f>
        <v>↓謝金詳細を入力してください</v>
      </c>
      <c r="AB21" s="34"/>
      <c r="AC21" s="34"/>
      <c r="AE21" s="34"/>
      <c r="AF21" s="34"/>
      <c r="AG21" s="34"/>
      <c r="AH21" s="34"/>
      <c r="AI21" s="34"/>
      <c r="AJ21" s="34"/>
      <c r="AK21" s="34"/>
      <c r="AL21" s="35"/>
      <c r="AM21" s="1">
        <v>1</v>
      </c>
    </row>
    <row r="22" spans="1:46" ht="18.75" customHeight="1">
      <c r="A22" s="154"/>
      <c r="B22" s="200" t="s">
        <v>56</v>
      </c>
      <c r="C22" s="200"/>
      <c r="D22" s="191" t="s">
        <v>57</v>
      </c>
      <c r="E22" s="192"/>
      <c r="F22" s="193"/>
      <c r="G22" s="26"/>
      <c r="H22" s="27"/>
      <c r="I22" s="27" t="s">
        <v>58</v>
      </c>
      <c r="J22" s="27"/>
      <c r="K22" s="27"/>
      <c r="L22" s="27"/>
      <c r="M22" s="27" t="s">
        <v>59</v>
      </c>
      <c r="N22" s="27"/>
      <c r="O22" s="27"/>
      <c r="P22" s="27"/>
      <c r="Q22" s="27"/>
      <c r="R22" s="27"/>
      <c r="S22" s="27" t="s">
        <v>60</v>
      </c>
      <c r="T22" s="27"/>
      <c r="U22" s="27"/>
      <c r="V22" s="27"/>
      <c r="W22" s="27" t="s">
        <v>61</v>
      </c>
      <c r="X22" s="27"/>
      <c r="Y22" s="27"/>
      <c r="Z22" s="27"/>
      <c r="AA22" s="27" t="s">
        <v>62</v>
      </c>
      <c r="AB22" s="27"/>
      <c r="AC22" s="27"/>
      <c r="AD22" s="27"/>
      <c r="AE22" s="27" t="s">
        <v>63</v>
      </c>
      <c r="AF22" s="27"/>
      <c r="AG22" s="27"/>
      <c r="AH22" s="27"/>
      <c r="AI22" s="27" t="s">
        <v>64</v>
      </c>
      <c r="AJ22" s="27"/>
      <c r="AK22" s="27"/>
      <c r="AL22" s="36"/>
      <c r="AM22" s="1">
        <v>14</v>
      </c>
    </row>
    <row r="23" spans="1:46" ht="18.75" customHeight="1">
      <c r="A23" s="154"/>
      <c r="B23" s="200"/>
      <c r="C23" s="200"/>
      <c r="D23" s="188"/>
      <c r="E23" s="189"/>
      <c r="F23" s="190"/>
      <c r="G23" s="28"/>
      <c r="H23" s="29"/>
      <c r="I23" s="37" t="s">
        <v>65</v>
      </c>
      <c r="J23" s="38"/>
      <c r="K23" s="29"/>
      <c r="L23" s="29"/>
      <c r="M23" s="29"/>
      <c r="N23" s="29" t="s">
        <v>66</v>
      </c>
      <c r="O23" s="29"/>
      <c r="P23" s="29"/>
      <c r="Q23" s="60" t="s">
        <v>67</v>
      </c>
      <c r="R23" s="87"/>
      <c r="S23" s="87"/>
      <c r="T23" s="87"/>
      <c r="U23" s="87"/>
      <c r="V23" s="87"/>
      <c r="W23" s="87"/>
      <c r="X23" s="29" t="s">
        <v>68</v>
      </c>
      <c r="Y23" s="45" t="s">
        <v>69</v>
      </c>
      <c r="Z23" s="45"/>
      <c r="AA23" s="29"/>
      <c r="AB23" s="128"/>
      <c r="AC23" s="128"/>
      <c r="AD23" s="128"/>
      <c r="AE23" s="29" t="s">
        <v>70</v>
      </c>
      <c r="AF23" s="183" t="s">
        <v>71</v>
      </c>
      <c r="AG23" s="183"/>
      <c r="AH23" s="183"/>
      <c r="AI23" s="184"/>
      <c r="AJ23" s="184"/>
      <c r="AK23" s="131" t="str">
        <f>IF(AND($AM$22=3,AI23=""),"←選択","")</f>
        <v/>
      </c>
      <c r="AL23" s="132"/>
    </row>
    <row r="24" spans="1:46" ht="18.75" customHeight="1">
      <c r="A24" s="154"/>
      <c r="B24" s="200"/>
      <c r="C24" s="200"/>
      <c r="D24" s="194" t="s">
        <v>72</v>
      </c>
      <c r="E24" s="195"/>
      <c r="F24" s="196"/>
      <c r="G24" s="40"/>
      <c r="I24" s="25" t="s">
        <v>73</v>
      </c>
      <c r="O24" s="25" t="s">
        <v>74</v>
      </c>
      <c r="U24" s="25" t="s">
        <v>75</v>
      </c>
      <c r="AB24" s="25" t="s">
        <v>76</v>
      </c>
      <c r="AH24" s="25" t="s">
        <v>77</v>
      </c>
      <c r="AL24" s="30"/>
    </row>
    <row r="25" spans="1:46" ht="18.75" customHeight="1">
      <c r="A25" s="154"/>
      <c r="B25" s="200"/>
      <c r="C25" s="200"/>
      <c r="D25" s="197"/>
      <c r="E25" s="198"/>
      <c r="F25" s="199"/>
      <c r="G25" s="28"/>
      <c r="H25" s="29"/>
      <c r="I25" s="37" t="s">
        <v>78</v>
      </c>
      <c r="J25" s="38"/>
      <c r="K25" s="29"/>
      <c r="L25" s="29"/>
      <c r="M25" s="29"/>
      <c r="N25" s="29" t="s">
        <v>79</v>
      </c>
      <c r="O25" s="29"/>
      <c r="P25" s="29"/>
      <c r="Q25" s="29"/>
      <c r="R25" s="29"/>
      <c r="S25" s="29" t="s">
        <v>66</v>
      </c>
      <c r="T25" s="29"/>
      <c r="U25" s="29"/>
      <c r="V25" s="60" t="s">
        <v>67</v>
      </c>
      <c r="W25" s="87"/>
      <c r="X25" s="87"/>
      <c r="Y25" s="87"/>
      <c r="Z25" s="87"/>
      <c r="AA25" s="87"/>
      <c r="AB25" s="87"/>
      <c r="AC25" s="29" t="s">
        <v>68</v>
      </c>
      <c r="AD25" s="29"/>
      <c r="AE25" s="29"/>
      <c r="AF25" s="29"/>
      <c r="AG25" s="29"/>
      <c r="AH25" s="29"/>
      <c r="AI25" s="29"/>
      <c r="AJ25" s="29"/>
      <c r="AK25" s="29"/>
      <c r="AL25" s="39"/>
    </row>
    <row r="26" spans="1:46" ht="13.5">
      <c r="A26" s="154"/>
      <c r="B26" s="185" t="s">
        <v>80</v>
      </c>
      <c r="C26" s="186"/>
      <c r="D26" s="186"/>
      <c r="E26" s="186"/>
      <c r="F26" s="187"/>
      <c r="G26" s="128" t="s">
        <v>81</v>
      </c>
      <c r="H26" s="128"/>
      <c r="I26" s="128"/>
      <c r="J26" s="129"/>
      <c r="K26" s="180" t="s">
        <v>82</v>
      </c>
      <c r="L26" s="128"/>
      <c r="M26" s="128"/>
      <c r="N26" s="129"/>
      <c r="O26" s="180" t="s">
        <v>83</v>
      </c>
      <c r="P26" s="128"/>
      <c r="Q26" s="128"/>
      <c r="R26" s="128"/>
      <c r="S26" s="128"/>
      <c r="T26" s="128"/>
      <c r="U26" s="128"/>
      <c r="V26" s="128"/>
      <c r="W26" s="128"/>
      <c r="X26" s="128"/>
      <c r="Y26" s="128"/>
      <c r="Z26" s="128"/>
      <c r="AA26" s="128"/>
      <c r="AB26" s="128"/>
      <c r="AC26" s="128"/>
      <c r="AD26" s="128"/>
      <c r="AE26" s="128"/>
      <c r="AF26" s="129"/>
      <c r="AG26" s="128" t="s">
        <v>84</v>
      </c>
      <c r="AH26" s="128"/>
      <c r="AI26" s="128"/>
      <c r="AJ26" s="128"/>
      <c r="AK26" s="128"/>
      <c r="AL26" s="129"/>
    </row>
    <row r="27" spans="1:46" ht="18.75" customHeight="1">
      <c r="A27" s="154"/>
      <c r="B27" s="185"/>
      <c r="C27" s="186"/>
      <c r="D27" s="186"/>
      <c r="E27" s="186"/>
      <c r="F27" s="187"/>
      <c r="G27" s="181">
        <v>1230</v>
      </c>
      <c r="H27" s="182"/>
      <c r="I27" s="182"/>
      <c r="J27" s="35" t="s">
        <v>85</v>
      </c>
      <c r="K27" s="41" t="s">
        <v>86</v>
      </c>
      <c r="L27" s="164"/>
      <c r="M27" s="165"/>
      <c r="N27" s="166"/>
      <c r="O27" s="44"/>
      <c r="P27" s="34" t="s">
        <v>87</v>
      </c>
      <c r="S27" s="165" t="s">
        <v>27</v>
      </c>
      <c r="T27" s="165"/>
      <c r="U27" s="33"/>
      <c r="W27" s="34" t="s">
        <v>88</v>
      </c>
      <c r="Z27" s="130" t="s">
        <v>89</v>
      </c>
      <c r="AA27" s="130"/>
      <c r="AB27" s="130"/>
      <c r="AC27" s="42" t="s">
        <v>21</v>
      </c>
      <c r="AD27" s="125"/>
      <c r="AE27" s="125"/>
      <c r="AF27" s="43" t="s">
        <v>23</v>
      </c>
      <c r="AG27" s="212">
        <f>ROUNDDOWN(G27*L27,0)</f>
        <v>0</v>
      </c>
      <c r="AH27" s="213"/>
      <c r="AI27" s="213"/>
      <c r="AJ27" s="213"/>
      <c r="AK27" s="214"/>
      <c r="AL27" s="43" t="s">
        <v>85</v>
      </c>
      <c r="AM27" s="1">
        <v>2</v>
      </c>
    </row>
    <row r="28" spans="1:46" ht="18.75" customHeight="1">
      <c r="A28" s="154"/>
      <c r="B28" s="185"/>
      <c r="C28" s="186"/>
      <c r="D28" s="186"/>
      <c r="E28" s="186"/>
      <c r="F28" s="187"/>
      <c r="G28" s="62"/>
      <c r="H28" s="61"/>
      <c r="I28" s="126" t="s">
        <v>90</v>
      </c>
      <c r="J28" s="126"/>
      <c r="K28" s="126"/>
      <c r="L28" s="126"/>
      <c r="M28" s="126"/>
      <c r="N28" s="126"/>
      <c r="O28" s="126"/>
      <c r="P28" s="126"/>
      <c r="Q28" s="126"/>
      <c r="R28" s="126"/>
      <c r="S28" s="126"/>
      <c r="T28" s="126"/>
      <c r="U28" s="126"/>
      <c r="V28" s="126"/>
      <c r="W28" s="126"/>
      <c r="X28" s="126"/>
      <c r="Y28" s="126"/>
      <c r="Z28" s="126"/>
      <c r="AA28" s="126"/>
      <c r="AB28" s="126"/>
      <c r="AC28" s="126"/>
      <c r="AD28" s="126"/>
      <c r="AE28" s="126"/>
      <c r="AF28" s="126"/>
      <c r="AG28" s="126"/>
      <c r="AH28" s="126"/>
      <c r="AI28" s="126"/>
      <c r="AJ28" s="126"/>
      <c r="AK28" s="126"/>
      <c r="AL28" s="127"/>
      <c r="AM28" s="1">
        <v>1</v>
      </c>
      <c r="AQ28" s="74"/>
      <c r="AS28" s="73"/>
    </row>
    <row r="29" spans="1:46" ht="18.75" customHeight="1">
      <c r="A29" s="154"/>
      <c r="B29" s="188"/>
      <c r="C29" s="189"/>
      <c r="D29" s="189"/>
      <c r="E29" s="189"/>
      <c r="F29" s="190"/>
      <c r="G29" s="28"/>
      <c r="H29" s="44"/>
      <c r="I29" s="126" t="s">
        <v>91</v>
      </c>
      <c r="J29" s="126"/>
      <c r="K29" s="126"/>
      <c r="L29" s="126"/>
      <c r="M29" s="126"/>
      <c r="N29" s="126"/>
      <c r="O29" s="126"/>
      <c r="P29" s="126"/>
      <c r="Q29" s="127"/>
      <c r="R29" s="151"/>
      <c r="S29" s="152"/>
      <c r="T29" s="152"/>
      <c r="U29" s="152"/>
      <c r="V29" s="152"/>
      <c r="W29" s="152"/>
      <c r="X29" s="152"/>
      <c r="Y29" s="152"/>
      <c r="Z29" s="152"/>
      <c r="AA29" s="152"/>
      <c r="AB29" s="152"/>
      <c r="AC29" s="152"/>
      <c r="AD29" s="152"/>
      <c r="AE29" s="153"/>
      <c r="AF29" s="207" t="s">
        <v>92</v>
      </c>
      <c r="AG29" s="207"/>
      <c r="AH29" s="207"/>
      <c r="AI29" s="207"/>
      <c r="AJ29" s="207"/>
      <c r="AK29" s="207"/>
      <c r="AL29" s="207"/>
      <c r="AM29" s="24"/>
      <c r="AQ29" s="74"/>
    </row>
    <row r="30" spans="1:46" ht="24.75" customHeight="1">
      <c r="A30" s="171" t="s">
        <v>93</v>
      </c>
      <c r="B30" s="172"/>
      <c r="C30" s="172"/>
      <c r="D30" s="172"/>
      <c r="E30" s="172"/>
      <c r="F30" s="173"/>
      <c r="G30" s="33"/>
      <c r="H30" s="32" t="s">
        <v>53</v>
      </c>
      <c r="I30" s="32"/>
      <c r="J30" s="32"/>
      <c r="K30" s="32"/>
      <c r="L30" s="33"/>
      <c r="M30" s="33"/>
      <c r="N30" s="33"/>
      <c r="O30" s="32" t="s">
        <v>54</v>
      </c>
      <c r="P30" s="32"/>
      <c r="Q30" s="32"/>
      <c r="R30" s="32"/>
      <c r="S30" s="34"/>
      <c r="T30" s="34"/>
      <c r="U30" s="33"/>
      <c r="V30" s="32" t="s">
        <v>55</v>
      </c>
      <c r="W30" s="32"/>
      <c r="X30" s="32"/>
      <c r="Y30" s="32"/>
      <c r="Z30" s="33"/>
      <c r="AA30" s="57" t="str">
        <f>IF($AM$30=0,"←ボタンを選択してください",IF($AM$30=1,"↓旅費詳細を入力してください","⑩については入力完了です"))</f>
        <v>⑩については入力完了です</v>
      </c>
      <c r="AB30" s="33"/>
      <c r="AC30" s="33"/>
      <c r="AD30" s="34"/>
      <c r="AF30" s="33"/>
      <c r="AG30" s="33"/>
      <c r="AH30" s="33"/>
      <c r="AI30" s="33"/>
      <c r="AJ30" s="33"/>
      <c r="AK30" s="33"/>
      <c r="AL30" s="43"/>
      <c r="AM30" s="1">
        <v>2</v>
      </c>
      <c r="AQ30" s="74"/>
    </row>
    <row r="31" spans="1:46" ht="18.75" customHeight="1">
      <c r="A31" s="174"/>
      <c r="B31" s="175"/>
      <c r="C31" s="175"/>
      <c r="D31" s="175"/>
      <c r="E31" s="175"/>
      <c r="F31" s="176"/>
      <c r="G31" s="26"/>
      <c r="H31" s="44"/>
      <c r="I31" s="126" t="s">
        <v>94</v>
      </c>
      <c r="J31" s="126"/>
      <c r="K31" s="126"/>
      <c r="L31" s="126"/>
      <c r="M31" s="126"/>
      <c r="N31" s="126"/>
      <c r="O31" s="126"/>
      <c r="P31" s="126"/>
      <c r="Q31" s="126"/>
      <c r="R31" s="126"/>
      <c r="S31" s="126"/>
      <c r="T31" s="126"/>
      <c r="U31" s="126"/>
      <c r="V31" s="126"/>
      <c r="W31" s="126"/>
      <c r="X31" s="126"/>
      <c r="Y31" s="126"/>
      <c r="Z31" s="126"/>
      <c r="AA31" s="126"/>
      <c r="AB31" s="126"/>
      <c r="AC31" s="126"/>
      <c r="AD31" s="126"/>
      <c r="AE31" s="126"/>
      <c r="AF31" s="126"/>
      <c r="AG31" s="126"/>
      <c r="AH31" s="126"/>
      <c r="AI31" s="126"/>
      <c r="AJ31" s="126"/>
      <c r="AK31" s="126"/>
      <c r="AL31" s="127"/>
      <c r="AM31" s="1">
        <v>2</v>
      </c>
    </row>
    <row r="32" spans="1:46" ht="18.75" customHeight="1">
      <c r="A32" s="177"/>
      <c r="B32" s="178"/>
      <c r="C32" s="178"/>
      <c r="D32" s="178"/>
      <c r="E32" s="178"/>
      <c r="F32" s="179"/>
      <c r="G32" s="28"/>
      <c r="H32" s="28"/>
      <c r="I32" s="126" t="s">
        <v>95</v>
      </c>
      <c r="J32" s="126"/>
      <c r="K32" s="126"/>
      <c r="L32" s="126"/>
      <c r="M32" s="126"/>
      <c r="N32" s="126"/>
      <c r="O32" s="126"/>
      <c r="P32" s="126"/>
      <c r="Q32" s="127"/>
      <c r="R32" s="151"/>
      <c r="S32" s="152"/>
      <c r="T32" s="152"/>
      <c r="U32" s="152"/>
      <c r="V32" s="152"/>
      <c r="W32" s="152"/>
      <c r="X32" s="152"/>
      <c r="Y32" s="152"/>
      <c r="Z32" s="152"/>
      <c r="AA32" s="152"/>
      <c r="AB32" s="152"/>
      <c r="AC32" s="152"/>
      <c r="AD32" s="152"/>
      <c r="AE32" s="153"/>
      <c r="AF32" s="148" t="s">
        <v>92</v>
      </c>
      <c r="AG32" s="149"/>
      <c r="AH32" s="149"/>
      <c r="AI32" s="149"/>
      <c r="AJ32" s="149"/>
      <c r="AK32" s="149"/>
      <c r="AL32" s="150"/>
    </row>
    <row r="33" spans="1:52" ht="27" customHeight="1">
      <c r="A33" s="91" t="s">
        <v>96</v>
      </c>
      <c r="B33" s="92"/>
      <c r="C33" s="92"/>
      <c r="D33" s="92"/>
      <c r="E33" s="92"/>
      <c r="F33" s="93"/>
      <c r="G33" s="1"/>
      <c r="H33" s="29" t="s">
        <v>97</v>
      </c>
      <c r="I33" s="29"/>
      <c r="J33" s="29" t="s">
        <v>21</v>
      </c>
      <c r="K33" s="1"/>
      <c r="L33" s="29" t="s">
        <v>98</v>
      </c>
      <c r="M33" s="29"/>
      <c r="N33" s="29"/>
      <c r="O33" s="29"/>
      <c r="P33" s="29"/>
      <c r="Q33" s="1"/>
      <c r="R33" s="126" t="s">
        <v>99</v>
      </c>
      <c r="S33" s="126"/>
      <c r="T33" s="126"/>
      <c r="U33" s="126"/>
      <c r="V33" s="29"/>
      <c r="W33" s="1"/>
      <c r="X33" s="208" t="s">
        <v>100</v>
      </c>
      <c r="Y33" s="208"/>
      <c r="Z33" s="208"/>
      <c r="AA33" s="208"/>
      <c r="AB33" s="208"/>
      <c r="AC33" s="208"/>
      <c r="AD33" s="205" t="s">
        <v>101</v>
      </c>
      <c r="AE33" s="205"/>
      <c r="AF33" s="205"/>
      <c r="AG33" s="203"/>
      <c r="AH33" s="203"/>
      <c r="AI33" s="203"/>
      <c r="AJ33" s="203"/>
      <c r="AK33" s="203"/>
      <c r="AL33" s="204"/>
      <c r="AM33" s="1">
        <v>0</v>
      </c>
      <c r="AN33" s="1" t="b">
        <v>0</v>
      </c>
      <c r="AZ33" s="2"/>
    </row>
    <row r="34" spans="1:52" ht="22.5" customHeight="1">
      <c r="A34" s="136" t="s">
        <v>102</v>
      </c>
      <c r="B34" s="137"/>
      <c r="C34" s="137"/>
      <c r="D34" s="137"/>
      <c r="E34" s="137"/>
      <c r="F34" s="138"/>
      <c r="G34" s="206" t="s">
        <v>103</v>
      </c>
      <c r="H34" s="206"/>
      <c r="I34" s="206"/>
      <c r="J34" s="206"/>
      <c r="K34" s="206"/>
      <c r="L34" s="206"/>
      <c r="M34" s="123" t="s">
        <v>104</v>
      </c>
      <c r="N34" s="123"/>
      <c r="O34" s="123"/>
      <c r="P34" s="123"/>
      <c r="Q34" s="201"/>
      <c r="R34" s="201"/>
      <c r="S34" s="201"/>
      <c r="T34" s="201"/>
      <c r="U34" s="201"/>
      <c r="V34" s="201"/>
      <c r="W34" s="201"/>
      <c r="X34" s="201"/>
      <c r="Y34" s="201"/>
      <c r="Z34" s="201"/>
      <c r="AA34" s="201"/>
      <c r="AB34" s="201"/>
      <c r="AC34" s="201"/>
      <c r="AD34" s="201"/>
      <c r="AE34" s="201"/>
      <c r="AF34" s="201"/>
      <c r="AG34" s="201"/>
      <c r="AH34" s="201"/>
      <c r="AI34" s="201"/>
      <c r="AJ34" s="201"/>
      <c r="AK34" s="201"/>
      <c r="AL34" s="201"/>
    </row>
    <row r="35" spans="1:52" ht="22.5" customHeight="1">
      <c r="A35" s="139"/>
      <c r="B35" s="140"/>
      <c r="C35" s="140"/>
      <c r="D35" s="140"/>
      <c r="E35" s="140"/>
      <c r="F35" s="141"/>
      <c r="G35" s="1"/>
      <c r="H35" s="29" t="s">
        <v>105</v>
      </c>
      <c r="I35" s="29"/>
      <c r="J35" s="1"/>
      <c r="K35" s="128" t="s">
        <v>106</v>
      </c>
      <c r="L35" s="128"/>
      <c r="M35" s="123" t="s">
        <v>107</v>
      </c>
      <c r="N35" s="123"/>
      <c r="O35" s="123"/>
      <c r="P35" s="123"/>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1">
        <v>0</v>
      </c>
    </row>
    <row r="36" spans="1:52" ht="22.5" customHeight="1">
      <c r="A36" s="139"/>
      <c r="B36" s="140"/>
      <c r="C36" s="140"/>
      <c r="D36" s="140"/>
      <c r="E36" s="140"/>
      <c r="F36" s="141"/>
      <c r="G36" s="229" t="s">
        <v>108</v>
      </c>
      <c r="H36" s="230"/>
      <c r="I36" s="230"/>
      <c r="J36" s="230"/>
      <c r="K36" s="230"/>
      <c r="L36" s="230"/>
      <c r="M36" s="123" t="s">
        <v>109</v>
      </c>
      <c r="N36" s="123"/>
      <c r="O36" s="123"/>
      <c r="P36" s="123"/>
      <c r="Q36" s="218"/>
      <c r="R36" s="219"/>
      <c r="S36" s="219"/>
      <c r="T36" s="219"/>
      <c r="U36" s="219"/>
      <c r="V36" s="219"/>
      <c r="W36" s="219"/>
      <c r="X36" s="220"/>
      <c r="Y36" s="123" t="s">
        <v>110</v>
      </c>
      <c r="Z36" s="123"/>
      <c r="AA36" s="123"/>
      <c r="AB36" s="123"/>
      <c r="AC36" s="218"/>
      <c r="AD36" s="219"/>
      <c r="AE36" s="219"/>
      <c r="AF36" s="219"/>
      <c r="AG36" s="219"/>
      <c r="AH36" s="219"/>
      <c r="AI36" s="219"/>
      <c r="AJ36" s="219"/>
      <c r="AK36" s="219"/>
      <c r="AL36" s="220"/>
    </row>
    <row r="37" spans="1:52" ht="22.5" customHeight="1">
      <c r="A37" s="139"/>
      <c r="B37" s="140"/>
      <c r="C37" s="140"/>
      <c r="D37" s="140"/>
      <c r="E37" s="140"/>
      <c r="F37" s="141"/>
      <c r="G37" s="128"/>
      <c r="H37" s="128"/>
      <c r="I37" s="128"/>
      <c r="J37" s="128"/>
      <c r="K37" s="128"/>
      <c r="L37" s="128"/>
      <c r="M37" s="124" t="s">
        <v>111</v>
      </c>
      <c r="N37" s="124"/>
      <c r="O37" s="124"/>
      <c r="P37" s="124"/>
      <c r="Q37" s="202"/>
      <c r="R37" s="202"/>
      <c r="S37" s="202"/>
      <c r="T37" s="202"/>
      <c r="U37" s="202"/>
      <c r="V37" s="202"/>
      <c r="W37" s="202"/>
      <c r="X37" s="202"/>
      <c r="Y37" s="202"/>
      <c r="Z37" s="202"/>
      <c r="AA37" s="202"/>
      <c r="AB37" s="202"/>
      <c r="AC37" s="202"/>
      <c r="AD37" s="202"/>
      <c r="AE37" s="202"/>
      <c r="AF37" s="202"/>
      <c r="AG37" s="202"/>
      <c r="AH37" s="202"/>
      <c r="AI37" s="202"/>
      <c r="AJ37" s="202"/>
      <c r="AK37" s="202"/>
      <c r="AL37" s="202"/>
    </row>
    <row r="38" spans="1:52" ht="21.75" customHeight="1">
      <c r="A38" s="139"/>
      <c r="B38" s="140"/>
      <c r="C38" s="140"/>
      <c r="D38" s="140"/>
      <c r="E38" s="140"/>
      <c r="F38" s="141"/>
      <c r="G38" s="164" t="s">
        <v>112</v>
      </c>
      <c r="H38" s="165"/>
      <c r="I38" s="165"/>
      <c r="J38" s="165"/>
      <c r="K38" s="165"/>
      <c r="L38" s="165"/>
      <c r="M38" s="165"/>
      <c r="N38" s="165"/>
      <c r="O38" s="165"/>
      <c r="P38" s="166"/>
      <c r="Q38" s="224"/>
      <c r="R38" s="125"/>
      <c r="S38" s="125"/>
      <c r="T38" s="225"/>
      <c r="U38" s="226" t="str">
        <f>IF($AM$22=14,"※承認された最新の実施計画書、同意書、参加者募集チラシを添付","")</f>
        <v>※承認された最新の実施計画書、同意書、参加者募集チラシを添付</v>
      </c>
      <c r="V38" s="227"/>
      <c r="W38" s="227"/>
      <c r="X38" s="227"/>
      <c r="Y38" s="227"/>
      <c r="Z38" s="227"/>
      <c r="AA38" s="227"/>
      <c r="AB38" s="227"/>
      <c r="AC38" s="227"/>
      <c r="AD38" s="227"/>
      <c r="AE38" s="227"/>
      <c r="AF38" s="227"/>
      <c r="AG38" s="227"/>
      <c r="AH38" s="227"/>
      <c r="AI38" s="227"/>
      <c r="AJ38" s="227"/>
      <c r="AK38" s="227"/>
      <c r="AL38" s="228"/>
    </row>
    <row r="39" spans="1:52" ht="22.5" customHeight="1">
      <c r="A39" s="94"/>
      <c r="B39" s="95"/>
      <c r="C39" s="95"/>
      <c r="D39" s="95"/>
      <c r="E39" s="95"/>
      <c r="F39" s="96"/>
      <c r="G39" s="221"/>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3"/>
    </row>
    <row r="40" spans="1:52" ht="18.75" customHeight="1">
      <c r="B40" s="25" t="s">
        <v>113</v>
      </c>
    </row>
    <row r="41" spans="1:52" ht="18.75" customHeight="1">
      <c r="A41" s="25" t="s">
        <v>114</v>
      </c>
      <c r="C41" s="215"/>
      <c r="D41" s="215"/>
      <c r="E41" s="25" t="s">
        <v>115</v>
      </c>
      <c r="F41" s="215"/>
      <c r="G41" s="215"/>
      <c r="H41" s="25" t="s">
        <v>116</v>
      </c>
      <c r="I41" s="215"/>
      <c r="J41" s="215"/>
      <c r="K41" s="25" t="s">
        <v>117</v>
      </c>
      <c r="M41" s="25" t="s">
        <v>118</v>
      </c>
      <c r="O41" s="216" t="s">
        <v>119</v>
      </c>
      <c r="P41" s="216"/>
      <c r="Q41" s="216"/>
      <c r="R41" s="216"/>
      <c r="S41" s="216"/>
      <c r="T41" s="216"/>
      <c r="U41" s="216"/>
      <c r="V41" s="216"/>
      <c r="W41" s="216"/>
      <c r="X41" s="216"/>
      <c r="Y41" s="216"/>
      <c r="Z41" s="217" t="s">
        <v>120</v>
      </c>
      <c r="AA41" s="217"/>
      <c r="AB41" s="216"/>
      <c r="AC41" s="216"/>
      <c r="AD41" s="216"/>
      <c r="AE41" s="216"/>
      <c r="AF41" s="216"/>
      <c r="AG41" s="216"/>
      <c r="AH41" s="216"/>
      <c r="AI41" s="216"/>
      <c r="AJ41" s="216"/>
      <c r="AK41" s="216"/>
      <c r="AL41" s="216"/>
    </row>
    <row r="42" spans="1:52" ht="18.75" customHeight="1">
      <c r="M42" s="25" t="s">
        <v>16</v>
      </c>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row>
    <row r="43" spans="1:52" ht="18.75" customHeight="1">
      <c r="M43" s="25" t="s">
        <v>109</v>
      </c>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c r="AL43" s="112"/>
    </row>
  </sheetData>
  <sheetProtection formatCells="0" selectLockedCells="1"/>
  <mergeCells count="123">
    <mergeCell ref="A33:F33"/>
    <mergeCell ref="X33:AC33"/>
    <mergeCell ref="A34:F39"/>
    <mergeCell ref="G38:P38"/>
    <mergeCell ref="A21:A29"/>
    <mergeCell ref="B21:F21"/>
    <mergeCell ref="AG27:AK27"/>
    <mergeCell ref="C41:D41"/>
    <mergeCell ref="F41:G41"/>
    <mergeCell ref="I41:J41"/>
    <mergeCell ref="O41:Y41"/>
    <mergeCell ref="Z41:AA41"/>
    <mergeCell ref="AB41:AL41"/>
    <mergeCell ref="Y36:AB36"/>
    <mergeCell ref="Q36:X36"/>
    <mergeCell ref="AC36:AL36"/>
    <mergeCell ref="G39:AL39"/>
    <mergeCell ref="Q38:T38"/>
    <mergeCell ref="U38:AL38"/>
    <mergeCell ref="I32:Q32"/>
    <mergeCell ref="G26:J26"/>
    <mergeCell ref="K26:N26"/>
    <mergeCell ref="K35:L35"/>
    <mergeCell ref="G36:L37"/>
    <mergeCell ref="Q34:AL34"/>
    <mergeCell ref="Q35:AL35"/>
    <mergeCell ref="Q37:AL37"/>
    <mergeCell ref="AG33:AL33"/>
    <mergeCell ref="AD33:AF33"/>
    <mergeCell ref="R33:U33"/>
    <mergeCell ref="G34:L34"/>
    <mergeCell ref="L27:N27"/>
    <mergeCell ref="AF29:AL29"/>
    <mergeCell ref="A30:F32"/>
    <mergeCell ref="K19:P19"/>
    <mergeCell ref="Q19:AL19"/>
    <mergeCell ref="G20:J20"/>
    <mergeCell ref="O26:AF26"/>
    <mergeCell ref="G27:I27"/>
    <mergeCell ref="K20:P20"/>
    <mergeCell ref="Q20:AL20"/>
    <mergeCell ref="AB23:AD23"/>
    <mergeCell ref="AF23:AH23"/>
    <mergeCell ref="G19:J19"/>
    <mergeCell ref="AI23:AJ23"/>
    <mergeCell ref="S27:T27"/>
    <mergeCell ref="R23:W23"/>
    <mergeCell ref="W25:AB25"/>
    <mergeCell ref="I28:AL28"/>
    <mergeCell ref="B26:F29"/>
    <mergeCell ref="D22:F23"/>
    <mergeCell ref="D24:F25"/>
    <mergeCell ref="B22:C25"/>
    <mergeCell ref="A2:AL2"/>
    <mergeCell ref="A4:F6"/>
    <mergeCell ref="G4:AL5"/>
    <mergeCell ref="AF32:AL32"/>
    <mergeCell ref="R32:AE32"/>
    <mergeCell ref="R29:AE29"/>
    <mergeCell ref="A7:A9"/>
    <mergeCell ref="A10:F12"/>
    <mergeCell ref="AF10:AG10"/>
    <mergeCell ref="AF11:AG11"/>
    <mergeCell ref="A15:F20"/>
    <mergeCell ref="G15:J15"/>
    <mergeCell ref="K15:P15"/>
    <mergeCell ref="B7:F7"/>
    <mergeCell ref="U7:X7"/>
    <mergeCell ref="G7:T7"/>
    <mergeCell ref="G8:T8"/>
    <mergeCell ref="I29:Q29"/>
    <mergeCell ref="Q18:AL18"/>
    <mergeCell ref="K18:P18"/>
    <mergeCell ref="H13:K13"/>
    <mergeCell ref="Q15:AL15"/>
    <mergeCell ref="G16:J16"/>
    <mergeCell ref="Q17:AL17"/>
    <mergeCell ref="O43:AL43"/>
    <mergeCell ref="G10:I10"/>
    <mergeCell ref="J10:Q10"/>
    <mergeCell ref="S10:U10"/>
    <mergeCell ref="V10:AC10"/>
    <mergeCell ref="J14:P14"/>
    <mergeCell ref="T14:AL14"/>
    <mergeCell ref="Q14:S14"/>
    <mergeCell ref="Q13:S13"/>
    <mergeCell ref="T13:AL13"/>
    <mergeCell ref="M34:P34"/>
    <mergeCell ref="M35:P35"/>
    <mergeCell ref="M36:P36"/>
    <mergeCell ref="M37:P37"/>
    <mergeCell ref="AD27:AE27"/>
    <mergeCell ref="I31:AL31"/>
    <mergeCell ref="S12:AL12"/>
    <mergeCell ref="AG26:AL26"/>
    <mergeCell ref="O42:AL42"/>
    <mergeCell ref="Z27:AB27"/>
    <mergeCell ref="AK23:AL23"/>
    <mergeCell ref="G18:J18"/>
    <mergeCell ref="G12:R12"/>
    <mergeCell ref="K16:P16"/>
    <mergeCell ref="AQ17:AS17"/>
    <mergeCell ref="AQ18:AS18"/>
    <mergeCell ref="AQ19:AS19"/>
    <mergeCell ref="A13:F14"/>
    <mergeCell ref="K17:P17"/>
    <mergeCell ref="H6:L6"/>
    <mergeCell ref="O6:S6"/>
    <mergeCell ref="V6:Z6"/>
    <mergeCell ref="B8:B9"/>
    <mergeCell ref="C8:F8"/>
    <mergeCell ref="C9:F9"/>
    <mergeCell ref="Y7:AL7"/>
    <mergeCell ref="Y8:AL9"/>
    <mergeCell ref="U8:X9"/>
    <mergeCell ref="G9:T9"/>
    <mergeCell ref="G11:I11"/>
    <mergeCell ref="S11:U11"/>
    <mergeCell ref="N13:O13"/>
    <mergeCell ref="J11:Q11"/>
    <mergeCell ref="V11:AC11"/>
    <mergeCell ref="Q16:AL16"/>
    <mergeCell ref="G17:J17"/>
  </mergeCells>
  <phoneticPr fontId="14"/>
  <conditionalFormatting sqref="G4:AL5 K16:AL20 G27:I27 L27:N27 Q37:AL37 Q36 AC36">
    <cfRule type="cellIs" dxfId="170" priority="51" operator="notEqual">
      <formula>""</formula>
    </cfRule>
  </conditionalFormatting>
  <conditionalFormatting sqref="G13:N13">
    <cfRule type="expression" dxfId="169" priority="73">
      <formula>$AM$13&gt;0</formula>
    </cfRule>
  </conditionalFormatting>
  <conditionalFormatting sqref="J14">
    <cfRule type="expression" dxfId="168" priority="70">
      <formula>AND($AM$13=1,$J$14="")</formula>
    </cfRule>
  </conditionalFormatting>
  <conditionalFormatting sqref="T13:AL14">
    <cfRule type="expression" dxfId="167" priority="71">
      <formula>AND($J$14&lt;&gt;"",$AM$13=2)</formula>
    </cfRule>
  </conditionalFormatting>
  <conditionalFormatting sqref="J14:P14">
    <cfRule type="expression" priority="68">
      <formula>AND($J$14&lt;&gt;"",$AM$13=1)</formula>
    </cfRule>
  </conditionalFormatting>
  <conditionalFormatting sqref="T13">
    <cfRule type="expression" dxfId="166" priority="69">
      <formula>AND($AM$13=2,$T$13="")</formula>
    </cfRule>
  </conditionalFormatting>
  <conditionalFormatting sqref="T14:AL14">
    <cfRule type="expression" dxfId="165" priority="67">
      <formula>AND($AM$13=2,$T$14="")</formula>
    </cfRule>
  </conditionalFormatting>
  <conditionalFormatting sqref="AB6 N6 G6">
    <cfRule type="expression" dxfId="164" priority="66">
      <formula>$AM$6&gt;0</formula>
    </cfRule>
  </conditionalFormatting>
  <conditionalFormatting sqref="H22:AL22 H24:AL24 H23:R23 H25:U25 AC25:AL25 X23:AB23 AE23:AF23 AI23 AK23">
    <cfRule type="expression" dxfId="163" priority="61">
      <formula>AND($AM$21=1,$AM$22&gt;0)</formula>
    </cfRule>
    <cfRule type="expression" dxfId="162" priority="62">
      <formula>AND($AM$21=1,$AM$22=0)</formula>
    </cfRule>
  </conditionalFormatting>
  <conditionalFormatting sqref="V25:W25">
    <cfRule type="expression" dxfId="161" priority="57">
      <formula>AND($AM$21=1,$AM$22&gt;0)</formula>
    </cfRule>
    <cfRule type="expression" dxfId="160" priority="58">
      <formula>AND($AM$21=1,$AM$22=0)</formula>
    </cfRule>
  </conditionalFormatting>
  <conditionalFormatting sqref="R23:W23">
    <cfRule type="expression" dxfId="159" priority="55">
      <formula>$R$23&lt;&gt;""</formula>
    </cfRule>
    <cfRule type="expression" dxfId="158" priority="56">
      <formula>$AM$22=9</formula>
    </cfRule>
  </conditionalFormatting>
  <conditionalFormatting sqref="W25:AB25">
    <cfRule type="expression" dxfId="157" priority="52">
      <formula>$W$25&lt;&gt;""</formula>
    </cfRule>
    <cfRule type="expression" dxfId="156" priority="53">
      <formula>$AM$22=17</formula>
    </cfRule>
  </conditionalFormatting>
  <conditionalFormatting sqref="G29:AL29 G28:I28 G22:AL22 G24:AL27 G23:AB23 AE23:AF23 AI23 AK23">
    <cfRule type="expression" dxfId="155" priority="14">
      <formula>OR($AM$21=3,$AM$21=2)</formula>
    </cfRule>
  </conditionalFormatting>
  <conditionalFormatting sqref="G27:I27 H28:H29 L27:O27 R27 V27 Y27">
    <cfRule type="expression" dxfId="154" priority="77">
      <formula>$AM$21=1</formula>
    </cfRule>
  </conditionalFormatting>
  <conditionalFormatting sqref="AD27:AE27">
    <cfRule type="cellIs" dxfId="153" priority="48" operator="notEqual">
      <formula>""</formula>
    </cfRule>
    <cfRule type="expression" dxfId="152" priority="49">
      <formula>AND($AM$21=1,$AM$27=4)</formula>
    </cfRule>
  </conditionalFormatting>
  <conditionalFormatting sqref="O27 R27 V27 Y27">
    <cfRule type="expression" dxfId="151" priority="47">
      <formula>$AM$27&gt;0</formula>
    </cfRule>
  </conditionalFormatting>
  <conditionalFormatting sqref="H28:H29">
    <cfRule type="expression" dxfId="150" priority="50">
      <formula>$AM$28&gt;0</formula>
    </cfRule>
  </conditionalFormatting>
  <conditionalFormatting sqref="R29:AE29">
    <cfRule type="cellIs" dxfId="149" priority="45" operator="notEqual">
      <formula>""</formula>
    </cfRule>
    <cfRule type="expression" dxfId="148" priority="46">
      <formula>$AM$28=2</formula>
    </cfRule>
  </conditionalFormatting>
  <conditionalFormatting sqref="C41:D41 F41:G41 I41:J41 O42:AL43 O41 Z41 AB41">
    <cfRule type="cellIs" dxfId="147" priority="43" operator="notEqual">
      <formula>""</formula>
    </cfRule>
  </conditionalFormatting>
  <conditionalFormatting sqref="G21 N21 U21">
    <cfRule type="expression" dxfId="146" priority="42">
      <formula>$AM$21=0</formula>
    </cfRule>
  </conditionalFormatting>
  <conditionalFormatting sqref="G30 N30 U30">
    <cfRule type="expression" dxfId="145" priority="41">
      <formula>$AM$30=0</formula>
    </cfRule>
  </conditionalFormatting>
  <conditionalFormatting sqref="R32:AE32">
    <cfRule type="cellIs" dxfId="144" priority="37" operator="notEqual">
      <formula>""</formula>
    </cfRule>
    <cfRule type="expression" dxfId="143" priority="38">
      <formula>$AM$31=2</formula>
    </cfRule>
  </conditionalFormatting>
  <conditionalFormatting sqref="G31:AL32">
    <cfRule type="expression" dxfId="142" priority="36">
      <formula>$AM$30&gt;1</formula>
    </cfRule>
  </conditionalFormatting>
  <conditionalFormatting sqref="G33:I33 Q33:R33 W33:AC33">
    <cfRule type="expression" dxfId="141" priority="35">
      <formula>$AM$33=0</formula>
    </cfRule>
  </conditionalFormatting>
  <conditionalFormatting sqref="AG33:AL33">
    <cfRule type="cellIs" dxfId="140" priority="33" operator="notEqual">
      <formula>""</formula>
    </cfRule>
    <cfRule type="expression" dxfId="139" priority="34">
      <formula>$AM$33=3</formula>
    </cfRule>
  </conditionalFormatting>
  <conditionalFormatting sqref="G35:L35">
    <cfRule type="expression" dxfId="138" priority="32">
      <formula>$AM$35=0</formula>
    </cfRule>
  </conditionalFormatting>
  <conditionalFormatting sqref="Q34:AL35">
    <cfRule type="cellIs" dxfId="137" priority="30" operator="notEqual">
      <formula>""</formula>
    </cfRule>
    <cfRule type="expression" dxfId="136" priority="31">
      <formula>$AM$35=1</formula>
    </cfRule>
  </conditionalFormatting>
  <conditionalFormatting sqref="M34:AL35">
    <cfRule type="expression" dxfId="135" priority="29">
      <formula>$AM$35=2</formula>
    </cfRule>
  </conditionalFormatting>
  <conditionalFormatting sqref="J10:Q11 V10:AC11">
    <cfRule type="cellIs" dxfId="134" priority="26" operator="notEqual">
      <formula>""</formula>
    </cfRule>
  </conditionalFormatting>
  <conditionalFormatting sqref="H31:AL32">
    <cfRule type="expression" dxfId="133" priority="39">
      <formula>$AM$31&gt;0</formula>
    </cfRule>
    <cfRule type="expression" dxfId="132" priority="40">
      <formula>$AM$30=1</formula>
    </cfRule>
  </conditionalFormatting>
  <conditionalFormatting sqref="Y8">
    <cfRule type="cellIs" dxfId="131" priority="23" operator="notEqual">
      <formula>""</formula>
    </cfRule>
  </conditionalFormatting>
  <conditionalFormatting sqref="U6">
    <cfRule type="expression" dxfId="130" priority="22">
      <formula>$AM$6&gt;0</formula>
    </cfRule>
  </conditionalFormatting>
  <conditionalFormatting sqref="AB23">
    <cfRule type="expression" dxfId="129" priority="19">
      <formula>OR($AM$22=1,$AM$22=3,$AM$22=6)</formula>
    </cfRule>
    <cfRule type="expression" dxfId="128" priority="20">
      <formula>$AC$23&lt;&gt;""</formula>
    </cfRule>
    <cfRule type="expression" dxfId="127" priority="21">
      <formula>AND($AM$21=1,$AM$22&lt;9)</formula>
    </cfRule>
  </conditionalFormatting>
  <conditionalFormatting sqref="AI23:AJ23">
    <cfRule type="expression" dxfId="126" priority="15">
      <formula>$AI$23&lt;&gt;""</formula>
    </cfRule>
    <cfRule type="expression" dxfId="125" priority="44">
      <formula>$AM$22=3</formula>
    </cfRule>
  </conditionalFormatting>
  <conditionalFormatting sqref="Q38">
    <cfRule type="expression" dxfId="124" priority="7">
      <formula>$Q$38&lt;&gt;""</formula>
    </cfRule>
    <cfRule type="expression" dxfId="123" priority="8">
      <formula>$AM$22=14</formula>
    </cfRule>
  </conditionalFormatting>
  <conditionalFormatting sqref="Q38:T38">
    <cfRule type="expression" dxfId="122" priority="6">
      <formula>$AM$22&lt;&gt;14</formula>
    </cfRule>
  </conditionalFormatting>
  <conditionalFormatting sqref="G8">
    <cfRule type="cellIs" dxfId="121" priority="5" operator="notEqual">
      <formula>""</formula>
    </cfRule>
  </conditionalFormatting>
  <conditionalFormatting sqref="G7">
    <cfRule type="cellIs" dxfId="120" priority="3" operator="notEqual">
      <formula>""</formula>
    </cfRule>
  </conditionalFormatting>
  <conditionalFormatting sqref="Y7">
    <cfRule type="cellIs" dxfId="119" priority="2" operator="notEqual">
      <formula>""</formula>
    </cfRule>
  </conditionalFormatting>
  <conditionalFormatting sqref="G9">
    <cfRule type="cellIs" dxfId="118" priority="1" operator="notEqual">
      <formula>""</formula>
    </cfRule>
  </conditionalFormatting>
  <dataValidations count="6">
    <dataValidation type="list" allowBlank="1" showInputMessage="1" showErrorMessage="1" sqref="L30 G29:G32 L26 L32 K35 G26 G14:G21 L15:L22" xr:uid="{00000000-0002-0000-0000-000003000000}">
      <formula1>"□,■"</formula1>
    </dataValidation>
    <dataValidation operator="greaterThanOrEqual" errorTitle="日付のみ入力可能です" error="yyyy/mm/dd形式で入力してください" promptTitle="yyyy/mm/dd形式で入力してください" sqref="S10:S11 G10:G11" xr:uid="{6AFA4148-7C54-4D37-A732-FE04B8121E94}"/>
    <dataValidation type="date" operator="greaterThanOrEqual" showInputMessage="1" showErrorMessage="1" errorTitle="日付のみ入力可能です" error="yyyy/mm/dd形式で入力してください" promptTitle="yyyy/mm/dd形式で入力してください" sqref="J10:Q10 V10:AC10" xr:uid="{F09286D7-87E1-4F27-BB46-A4F8E1B39257}">
      <formula1>36526</formula1>
    </dataValidation>
    <dataValidation type="time" showInputMessage="1" showErrorMessage="1" errorTitle="時刻のみ入力可能です" error="hh:mm形式で入力してください" promptTitle="hh:mm形式で入力してください" sqref="J11:Q11 V11:AC11" xr:uid="{D4D0B082-2D33-4782-A610-17DED4917FA0}">
      <formula1>0</formula1>
      <formula2>0.999988425925926</formula2>
    </dataValidation>
    <dataValidation type="list" allowBlank="1" showInputMessage="1" showErrorMessage="1" sqref="AI23:AJ23" xr:uid="{6D7811BD-EB32-4166-A97A-1D8B27B0F9BD}">
      <formula1>"有,無"</formula1>
    </dataValidation>
    <dataValidation type="list" allowBlank="1" showInputMessage="1" showErrorMessage="1" sqref="AG33:AL33" xr:uid="{2FA04B4B-CE61-4A68-9C01-9FB6F20A703F}">
      <formula1>$BR$2:$BR$5</formula1>
    </dataValidation>
  </dataValidations>
  <pageMargins left="0.43307086614173229" right="0.35433070866141736" top="0.98425196850393704" bottom="0.31496062992125984" header="0.31496062992125984" footer="0.31496062992125984"/>
  <pageSetup paperSize="9" scale="9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1" r:id="rId4" name="Option Button 29">
              <controlPr defaultSize="0" autoFill="0" autoLine="0" autoPict="0">
                <anchor moveWithCells="1">
                  <from>
                    <xdr:col>6</xdr:col>
                    <xdr:colOff>0</xdr:colOff>
                    <xdr:row>20</xdr:row>
                    <xdr:rowOff>38100</xdr:rowOff>
                  </from>
                  <to>
                    <xdr:col>10</xdr:col>
                    <xdr:colOff>0</xdr:colOff>
                    <xdr:row>20</xdr:row>
                    <xdr:rowOff>276225</xdr:rowOff>
                  </to>
                </anchor>
              </controlPr>
            </control>
          </mc:Choice>
        </mc:AlternateContent>
        <mc:AlternateContent xmlns:mc="http://schemas.openxmlformats.org/markup-compatibility/2006">
          <mc:Choice Requires="x14">
            <control shapeId="8222" r:id="rId5" name="Option Button 30">
              <controlPr defaultSize="0" autoFill="0" autoLine="0" autoPict="0">
                <anchor moveWithCells="1">
                  <from>
                    <xdr:col>13</xdr:col>
                    <xdr:colOff>0</xdr:colOff>
                    <xdr:row>20</xdr:row>
                    <xdr:rowOff>38100</xdr:rowOff>
                  </from>
                  <to>
                    <xdr:col>17</xdr:col>
                    <xdr:colOff>0</xdr:colOff>
                    <xdr:row>20</xdr:row>
                    <xdr:rowOff>276225</xdr:rowOff>
                  </to>
                </anchor>
              </controlPr>
            </control>
          </mc:Choice>
        </mc:AlternateContent>
        <mc:AlternateContent xmlns:mc="http://schemas.openxmlformats.org/markup-compatibility/2006">
          <mc:Choice Requires="x14">
            <control shapeId="8223" r:id="rId6" name="Option Button 31">
              <controlPr defaultSize="0" autoFill="0" autoLine="0" autoPict="0">
                <anchor moveWithCells="1">
                  <from>
                    <xdr:col>20</xdr:col>
                    <xdr:colOff>0</xdr:colOff>
                    <xdr:row>20</xdr:row>
                    <xdr:rowOff>38100</xdr:rowOff>
                  </from>
                  <to>
                    <xdr:col>24</xdr:col>
                    <xdr:colOff>0</xdr:colOff>
                    <xdr:row>20</xdr:row>
                    <xdr:rowOff>276225</xdr:rowOff>
                  </to>
                </anchor>
              </controlPr>
            </control>
          </mc:Choice>
        </mc:AlternateContent>
        <mc:AlternateContent xmlns:mc="http://schemas.openxmlformats.org/markup-compatibility/2006">
          <mc:Choice Requires="x14">
            <control shapeId="8248" r:id="rId7" name="Option Button 56">
              <controlPr defaultSize="0" autoFill="0" autoLine="0" autoPict="0">
                <anchor moveWithCells="1">
                  <from>
                    <xdr:col>6</xdr:col>
                    <xdr:colOff>0</xdr:colOff>
                    <xdr:row>29</xdr:row>
                    <xdr:rowOff>19050</xdr:rowOff>
                  </from>
                  <to>
                    <xdr:col>10</xdr:col>
                    <xdr:colOff>0</xdr:colOff>
                    <xdr:row>29</xdr:row>
                    <xdr:rowOff>257175</xdr:rowOff>
                  </to>
                </anchor>
              </controlPr>
            </control>
          </mc:Choice>
        </mc:AlternateContent>
        <mc:AlternateContent xmlns:mc="http://schemas.openxmlformats.org/markup-compatibility/2006">
          <mc:Choice Requires="x14">
            <control shapeId="8249" r:id="rId8" name="Option Button 57">
              <controlPr defaultSize="0" autoFill="0" autoLine="0" autoPict="0">
                <anchor moveWithCells="1">
                  <from>
                    <xdr:col>13</xdr:col>
                    <xdr:colOff>0</xdr:colOff>
                    <xdr:row>29</xdr:row>
                    <xdr:rowOff>19050</xdr:rowOff>
                  </from>
                  <to>
                    <xdr:col>17</xdr:col>
                    <xdr:colOff>0</xdr:colOff>
                    <xdr:row>29</xdr:row>
                    <xdr:rowOff>257175</xdr:rowOff>
                  </to>
                </anchor>
              </controlPr>
            </control>
          </mc:Choice>
        </mc:AlternateContent>
        <mc:AlternateContent xmlns:mc="http://schemas.openxmlformats.org/markup-compatibility/2006">
          <mc:Choice Requires="x14">
            <control shapeId="8250" r:id="rId9" name="Option Button 58">
              <controlPr defaultSize="0" autoFill="0" autoLine="0" autoPict="0">
                <anchor moveWithCells="1">
                  <from>
                    <xdr:col>20</xdr:col>
                    <xdr:colOff>0</xdr:colOff>
                    <xdr:row>29</xdr:row>
                    <xdr:rowOff>19050</xdr:rowOff>
                  </from>
                  <to>
                    <xdr:col>24</xdr:col>
                    <xdr:colOff>0</xdr:colOff>
                    <xdr:row>29</xdr:row>
                    <xdr:rowOff>257175</xdr:rowOff>
                  </to>
                </anchor>
              </controlPr>
            </control>
          </mc:Choice>
        </mc:AlternateContent>
        <mc:AlternateContent xmlns:mc="http://schemas.openxmlformats.org/markup-compatibility/2006">
          <mc:Choice Requires="x14">
            <control shapeId="8267" r:id="rId10" name="Option Button 75">
              <controlPr defaultSize="0" autoFill="0" autoLine="0" autoPict="0">
                <anchor moveWithCells="1">
                  <from>
                    <xdr:col>5</xdr:col>
                    <xdr:colOff>190500</xdr:colOff>
                    <xdr:row>12</xdr:row>
                    <xdr:rowOff>19050</xdr:rowOff>
                  </from>
                  <to>
                    <xdr:col>7</xdr:col>
                    <xdr:colOff>95250</xdr:colOff>
                    <xdr:row>13</xdr:row>
                    <xdr:rowOff>9525</xdr:rowOff>
                  </to>
                </anchor>
              </controlPr>
            </control>
          </mc:Choice>
        </mc:AlternateContent>
        <mc:AlternateContent xmlns:mc="http://schemas.openxmlformats.org/markup-compatibility/2006">
          <mc:Choice Requires="x14">
            <control shapeId="8272" r:id="rId11" name="Option Button 80">
              <controlPr defaultSize="0" autoFill="0" autoLine="0" autoPict="0">
                <anchor moveWithCells="1">
                  <from>
                    <xdr:col>12</xdr:col>
                    <xdr:colOff>0</xdr:colOff>
                    <xdr:row>12</xdr:row>
                    <xdr:rowOff>19050</xdr:rowOff>
                  </from>
                  <to>
                    <xdr:col>13</xdr:col>
                    <xdr:colOff>104775</xdr:colOff>
                    <xdr:row>13</xdr:row>
                    <xdr:rowOff>9525</xdr:rowOff>
                  </to>
                </anchor>
              </controlPr>
            </control>
          </mc:Choice>
        </mc:AlternateContent>
        <mc:AlternateContent xmlns:mc="http://schemas.openxmlformats.org/markup-compatibility/2006">
          <mc:Choice Requires="x14">
            <control shapeId="8274" r:id="rId12" name="Group Box 82">
              <controlPr defaultSize="0" autoFill="0" autoPict="0">
                <anchor moveWithCells="1">
                  <from>
                    <xdr:col>5</xdr:col>
                    <xdr:colOff>114300</xdr:colOff>
                    <xdr:row>12</xdr:row>
                    <xdr:rowOff>9525</xdr:rowOff>
                  </from>
                  <to>
                    <xdr:col>16</xdr:col>
                    <xdr:colOff>9525</xdr:colOff>
                    <xdr:row>13</xdr:row>
                    <xdr:rowOff>38100</xdr:rowOff>
                  </to>
                </anchor>
              </controlPr>
            </control>
          </mc:Choice>
        </mc:AlternateContent>
        <mc:AlternateContent xmlns:mc="http://schemas.openxmlformats.org/markup-compatibility/2006">
          <mc:Choice Requires="x14">
            <control shapeId="8275" r:id="rId13" name="Group Box 83">
              <controlPr defaultSize="0" autoFill="0" autoPict="0">
                <anchor moveWithCells="1">
                  <from>
                    <xdr:col>5</xdr:col>
                    <xdr:colOff>85725</xdr:colOff>
                    <xdr:row>20</xdr:row>
                    <xdr:rowOff>19050</xdr:rowOff>
                  </from>
                  <to>
                    <xdr:col>24</xdr:col>
                    <xdr:colOff>133350</xdr:colOff>
                    <xdr:row>20</xdr:row>
                    <xdr:rowOff>304800</xdr:rowOff>
                  </to>
                </anchor>
              </controlPr>
            </control>
          </mc:Choice>
        </mc:AlternateContent>
        <mc:AlternateContent xmlns:mc="http://schemas.openxmlformats.org/markup-compatibility/2006">
          <mc:Choice Requires="x14">
            <control shapeId="8278" r:id="rId14" name="Option Button 86">
              <controlPr defaultSize="0" autoFill="0" autoLine="0" autoPict="0">
                <anchor moveWithCells="1">
                  <from>
                    <xdr:col>7</xdr:col>
                    <xdr:colOff>9525</xdr:colOff>
                    <xdr:row>21</xdr:row>
                    <xdr:rowOff>19050</xdr:rowOff>
                  </from>
                  <to>
                    <xdr:col>8</xdr:col>
                    <xdr:colOff>114300</xdr:colOff>
                    <xdr:row>22</xdr:row>
                    <xdr:rowOff>28575</xdr:rowOff>
                  </to>
                </anchor>
              </controlPr>
            </control>
          </mc:Choice>
        </mc:AlternateContent>
        <mc:AlternateContent xmlns:mc="http://schemas.openxmlformats.org/markup-compatibility/2006">
          <mc:Choice Requires="x14">
            <control shapeId="8279" r:id="rId15" name="Option Button 87">
              <controlPr defaultSize="0" autoFill="0" autoLine="0" autoPict="0">
                <anchor moveWithCells="1">
                  <from>
                    <xdr:col>11</xdr:col>
                    <xdr:colOff>9525</xdr:colOff>
                    <xdr:row>21</xdr:row>
                    <xdr:rowOff>19050</xdr:rowOff>
                  </from>
                  <to>
                    <xdr:col>12</xdr:col>
                    <xdr:colOff>114300</xdr:colOff>
                    <xdr:row>22</xdr:row>
                    <xdr:rowOff>28575</xdr:rowOff>
                  </to>
                </anchor>
              </controlPr>
            </control>
          </mc:Choice>
        </mc:AlternateContent>
        <mc:AlternateContent xmlns:mc="http://schemas.openxmlformats.org/markup-compatibility/2006">
          <mc:Choice Requires="x14">
            <control shapeId="8305" r:id="rId16" name="Option Button 113">
              <controlPr defaultSize="0" autoFill="0" autoLine="0" autoPict="0">
                <anchor moveWithCells="1">
                  <from>
                    <xdr:col>7</xdr:col>
                    <xdr:colOff>9525</xdr:colOff>
                    <xdr:row>30</xdr:row>
                    <xdr:rowOff>9525</xdr:rowOff>
                  </from>
                  <to>
                    <xdr:col>8</xdr:col>
                    <xdr:colOff>114300</xdr:colOff>
                    <xdr:row>31</xdr:row>
                    <xdr:rowOff>19050</xdr:rowOff>
                  </to>
                </anchor>
              </controlPr>
            </control>
          </mc:Choice>
        </mc:AlternateContent>
        <mc:AlternateContent xmlns:mc="http://schemas.openxmlformats.org/markup-compatibility/2006">
          <mc:Choice Requires="x14">
            <control shapeId="8307" r:id="rId17" name="Option Button 115">
              <controlPr defaultSize="0" autoFill="0" autoLine="0" autoPict="0">
                <anchor moveWithCells="1">
                  <from>
                    <xdr:col>6</xdr:col>
                    <xdr:colOff>9525</xdr:colOff>
                    <xdr:row>32</xdr:row>
                    <xdr:rowOff>19050</xdr:rowOff>
                  </from>
                  <to>
                    <xdr:col>7</xdr:col>
                    <xdr:colOff>104775</xdr:colOff>
                    <xdr:row>32</xdr:row>
                    <xdr:rowOff>266700</xdr:rowOff>
                  </to>
                </anchor>
              </controlPr>
            </control>
          </mc:Choice>
        </mc:AlternateContent>
        <mc:AlternateContent xmlns:mc="http://schemas.openxmlformats.org/markup-compatibility/2006">
          <mc:Choice Requires="x14">
            <control shapeId="8308" r:id="rId18" name="Option Button 116">
              <controlPr defaultSize="0" autoFill="0" autoLine="0" autoPict="0">
                <anchor moveWithCells="1">
                  <from>
                    <xdr:col>16</xdr:col>
                    <xdr:colOff>9525</xdr:colOff>
                    <xdr:row>32</xdr:row>
                    <xdr:rowOff>19050</xdr:rowOff>
                  </from>
                  <to>
                    <xdr:col>17</xdr:col>
                    <xdr:colOff>104775</xdr:colOff>
                    <xdr:row>32</xdr:row>
                    <xdr:rowOff>266700</xdr:rowOff>
                  </to>
                </anchor>
              </controlPr>
            </control>
          </mc:Choice>
        </mc:AlternateContent>
        <mc:AlternateContent xmlns:mc="http://schemas.openxmlformats.org/markup-compatibility/2006">
          <mc:Choice Requires="x14">
            <control shapeId="8309" r:id="rId19" name="Option Button 117">
              <controlPr defaultSize="0" autoFill="0" autoLine="0" autoPict="0">
                <anchor moveWithCells="1">
                  <from>
                    <xdr:col>22</xdr:col>
                    <xdr:colOff>9525</xdr:colOff>
                    <xdr:row>32</xdr:row>
                    <xdr:rowOff>19050</xdr:rowOff>
                  </from>
                  <to>
                    <xdr:col>23</xdr:col>
                    <xdr:colOff>104775</xdr:colOff>
                    <xdr:row>32</xdr:row>
                    <xdr:rowOff>266700</xdr:rowOff>
                  </to>
                </anchor>
              </controlPr>
            </control>
          </mc:Choice>
        </mc:AlternateContent>
        <mc:AlternateContent xmlns:mc="http://schemas.openxmlformats.org/markup-compatibility/2006">
          <mc:Choice Requires="x14">
            <control shapeId="8310" r:id="rId20" name="Group Box 118">
              <controlPr defaultSize="0" autoFill="0" autoPict="0">
                <anchor moveWithCells="1">
                  <from>
                    <xdr:col>5</xdr:col>
                    <xdr:colOff>95250</xdr:colOff>
                    <xdr:row>32</xdr:row>
                    <xdr:rowOff>9525</xdr:rowOff>
                  </from>
                  <to>
                    <xdr:col>28</xdr:col>
                    <xdr:colOff>142875</xdr:colOff>
                    <xdr:row>32</xdr:row>
                    <xdr:rowOff>295275</xdr:rowOff>
                  </to>
                </anchor>
              </controlPr>
            </control>
          </mc:Choice>
        </mc:AlternateContent>
        <mc:AlternateContent xmlns:mc="http://schemas.openxmlformats.org/markup-compatibility/2006">
          <mc:Choice Requires="x14">
            <control shapeId="8311" r:id="rId21" name="Check Box 119">
              <controlPr defaultSize="0" autoFill="0" autoLine="0" autoPict="0">
                <anchor moveWithCells="1">
                  <from>
                    <xdr:col>9</xdr:col>
                    <xdr:colOff>190500</xdr:colOff>
                    <xdr:row>32</xdr:row>
                    <xdr:rowOff>28575</xdr:rowOff>
                  </from>
                  <to>
                    <xdr:col>11</xdr:col>
                    <xdr:colOff>95250</xdr:colOff>
                    <xdr:row>32</xdr:row>
                    <xdr:rowOff>276225</xdr:rowOff>
                  </to>
                </anchor>
              </controlPr>
            </control>
          </mc:Choice>
        </mc:AlternateContent>
        <mc:AlternateContent xmlns:mc="http://schemas.openxmlformats.org/markup-compatibility/2006">
          <mc:Choice Requires="x14">
            <control shapeId="8313" r:id="rId22" name="Option Button 121">
              <controlPr defaultSize="0" autoFill="0" autoLine="0" autoPict="0">
                <anchor moveWithCells="1">
                  <from>
                    <xdr:col>6</xdr:col>
                    <xdr:colOff>19050</xdr:colOff>
                    <xdr:row>34</xdr:row>
                    <xdr:rowOff>28575</xdr:rowOff>
                  </from>
                  <to>
                    <xdr:col>7</xdr:col>
                    <xdr:colOff>38100</xdr:colOff>
                    <xdr:row>34</xdr:row>
                    <xdr:rowOff>276225</xdr:rowOff>
                  </to>
                </anchor>
              </controlPr>
            </control>
          </mc:Choice>
        </mc:AlternateContent>
        <mc:AlternateContent xmlns:mc="http://schemas.openxmlformats.org/markup-compatibility/2006">
          <mc:Choice Requires="x14">
            <control shapeId="8315" r:id="rId23" name="Option Button 123">
              <controlPr defaultSize="0" autoFill="0" autoLine="0" autoPict="0">
                <anchor moveWithCells="1">
                  <from>
                    <xdr:col>9</xdr:col>
                    <xdr:colOff>19050</xdr:colOff>
                    <xdr:row>34</xdr:row>
                    <xdr:rowOff>28575</xdr:rowOff>
                  </from>
                  <to>
                    <xdr:col>10</xdr:col>
                    <xdr:colOff>38100</xdr:colOff>
                    <xdr:row>34</xdr:row>
                    <xdr:rowOff>276225</xdr:rowOff>
                  </to>
                </anchor>
              </controlPr>
            </control>
          </mc:Choice>
        </mc:AlternateContent>
        <mc:AlternateContent xmlns:mc="http://schemas.openxmlformats.org/markup-compatibility/2006">
          <mc:Choice Requires="x14">
            <control shapeId="8319" r:id="rId24" name="Option Button 127">
              <controlPr defaultSize="0" autoFill="0" autoLine="0" autoPict="0">
                <anchor moveWithCells="1">
                  <from>
                    <xdr:col>17</xdr:col>
                    <xdr:colOff>9525</xdr:colOff>
                    <xdr:row>21</xdr:row>
                    <xdr:rowOff>19050</xdr:rowOff>
                  </from>
                  <to>
                    <xdr:col>18</xdr:col>
                    <xdr:colOff>114300</xdr:colOff>
                    <xdr:row>22</xdr:row>
                    <xdr:rowOff>28575</xdr:rowOff>
                  </to>
                </anchor>
              </controlPr>
            </control>
          </mc:Choice>
        </mc:AlternateContent>
        <mc:AlternateContent xmlns:mc="http://schemas.openxmlformats.org/markup-compatibility/2006">
          <mc:Choice Requires="x14">
            <control shapeId="8320" r:id="rId25" name="Option Button 128">
              <controlPr defaultSize="0" autoFill="0" autoLine="0" autoPict="0">
                <anchor moveWithCells="1">
                  <from>
                    <xdr:col>21</xdr:col>
                    <xdr:colOff>9525</xdr:colOff>
                    <xdr:row>21</xdr:row>
                    <xdr:rowOff>19050</xdr:rowOff>
                  </from>
                  <to>
                    <xdr:col>22</xdr:col>
                    <xdr:colOff>114300</xdr:colOff>
                    <xdr:row>22</xdr:row>
                    <xdr:rowOff>28575</xdr:rowOff>
                  </to>
                </anchor>
              </controlPr>
            </control>
          </mc:Choice>
        </mc:AlternateContent>
        <mc:AlternateContent xmlns:mc="http://schemas.openxmlformats.org/markup-compatibility/2006">
          <mc:Choice Requires="x14">
            <control shapeId="8325" r:id="rId26" name="Option Button 133">
              <controlPr defaultSize="0" autoFill="0" autoLine="0" autoPict="0">
                <anchor moveWithCells="1">
                  <from>
                    <xdr:col>24</xdr:col>
                    <xdr:colOff>171450</xdr:colOff>
                    <xdr:row>21</xdr:row>
                    <xdr:rowOff>9525</xdr:rowOff>
                  </from>
                  <to>
                    <xdr:col>26</xdr:col>
                    <xdr:colOff>76200</xdr:colOff>
                    <xdr:row>22</xdr:row>
                    <xdr:rowOff>19050</xdr:rowOff>
                  </to>
                </anchor>
              </controlPr>
            </control>
          </mc:Choice>
        </mc:AlternateContent>
        <mc:AlternateContent xmlns:mc="http://schemas.openxmlformats.org/markup-compatibility/2006">
          <mc:Choice Requires="x14">
            <control shapeId="8326" r:id="rId27" name="Option Button 134">
              <controlPr defaultSize="0" autoFill="0" autoLine="0" autoPict="0">
                <anchor moveWithCells="1">
                  <from>
                    <xdr:col>28</xdr:col>
                    <xdr:colOff>190500</xdr:colOff>
                    <xdr:row>21</xdr:row>
                    <xdr:rowOff>9525</xdr:rowOff>
                  </from>
                  <to>
                    <xdr:col>30</xdr:col>
                    <xdr:colOff>104775</xdr:colOff>
                    <xdr:row>22</xdr:row>
                    <xdr:rowOff>19050</xdr:rowOff>
                  </to>
                </anchor>
              </controlPr>
            </control>
          </mc:Choice>
        </mc:AlternateContent>
        <mc:AlternateContent xmlns:mc="http://schemas.openxmlformats.org/markup-compatibility/2006">
          <mc:Choice Requires="x14">
            <control shapeId="8327" r:id="rId28" name="Option Button 135">
              <controlPr defaultSize="0" autoFill="0" autoLine="0" autoPict="0">
                <anchor moveWithCells="1">
                  <from>
                    <xdr:col>32</xdr:col>
                    <xdr:colOff>200025</xdr:colOff>
                    <xdr:row>21</xdr:row>
                    <xdr:rowOff>0</xdr:rowOff>
                  </from>
                  <to>
                    <xdr:col>34</xdr:col>
                    <xdr:colOff>95250</xdr:colOff>
                    <xdr:row>22</xdr:row>
                    <xdr:rowOff>9525</xdr:rowOff>
                  </to>
                </anchor>
              </controlPr>
            </control>
          </mc:Choice>
        </mc:AlternateContent>
        <mc:AlternateContent xmlns:mc="http://schemas.openxmlformats.org/markup-compatibility/2006">
          <mc:Choice Requires="x14">
            <control shapeId="8328" r:id="rId29" name="Option Button 136">
              <controlPr defaultSize="0" autoFill="0" autoLine="0" autoPict="0">
                <anchor moveWithCells="1">
                  <from>
                    <xdr:col>7</xdr:col>
                    <xdr:colOff>9525</xdr:colOff>
                    <xdr:row>22</xdr:row>
                    <xdr:rowOff>9525</xdr:rowOff>
                  </from>
                  <to>
                    <xdr:col>8</xdr:col>
                    <xdr:colOff>123825</xdr:colOff>
                    <xdr:row>23</xdr:row>
                    <xdr:rowOff>19050</xdr:rowOff>
                  </to>
                </anchor>
              </controlPr>
            </control>
          </mc:Choice>
        </mc:AlternateContent>
        <mc:AlternateContent xmlns:mc="http://schemas.openxmlformats.org/markup-compatibility/2006">
          <mc:Choice Requires="x14">
            <control shapeId="8329" r:id="rId30" name="Option Button 137">
              <controlPr defaultSize="0" autoFill="0" autoLine="0" autoPict="0">
                <anchor moveWithCells="1">
                  <from>
                    <xdr:col>11</xdr:col>
                    <xdr:colOff>190500</xdr:colOff>
                    <xdr:row>22</xdr:row>
                    <xdr:rowOff>9525</xdr:rowOff>
                  </from>
                  <to>
                    <xdr:col>13</xdr:col>
                    <xdr:colOff>95250</xdr:colOff>
                    <xdr:row>23</xdr:row>
                    <xdr:rowOff>19050</xdr:rowOff>
                  </to>
                </anchor>
              </controlPr>
            </control>
          </mc:Choice>
        </mc:AlternateContent>
        <mc:AlternateContent xmlns:mc="http://schemas.openxmlformats.org/markup-compatibility/2006">
          <mc:Choice Requires="x14">
            <control shapeId="8330" r:id="rId31" name="Option Button 138">
              <controlPr defaultSize="0" autoFill="0" autoLine="0" autoPict="0">
                <anchor moveWithCells="1">
                  <from>
                    <xdr:col>7</xdr:col>
                    <xdr:colOff>19050</xdr:colOff>
                    <xdr:row>23</xdr:row>
                    <xdr:rowOff>0</xdr:rowOff>
                  </from>
                  <to>
                    <xdr:col>8</xdr:col>
                    <xdr:colOff>123825</xdr:colOff>
                    <xdr:row>24</xdr:row>
                    <xdr:rowOff>9525</xdr:rowOff>
                  </to>
                </anchor>
              </controlPr>
            </control>
          </mc:Choice>
        </mc:AlternateContent>
        <mc:AlternateContent xmlns:mc="http://schemas.openxmlformats.org/markup-compatibility/2006">
          <mc:Choice Requires="x14">
            <control shapeId="8331" r:id="rId32" name="Option Button 139">
              <controlPr defaultSize="0" autoFill="0" autoLine="0" autoPict="0">
                <anchor moveWithCells="1">
                  <from>
                    <xdr:col>13</xdr:col>
                    <xdr:colOff>38100</xdr:colOff>
                    <xdr:row>23</xdr:row>
                    <xdr:rowOff>0</xdr:rowOff>
                  </from>
                  <to>
                    <xdr:col>14</xdr:col>
                    <xdr:colOff>142875</xdr:colOff>
                    <xdr:row>24</xdr:row>
                    <xdr:rowOff>9525</xdr:rowOff>
                  </to>
                </anchor>
              </controlPr>
            </control>
          </mc:Choice>
        </mc:AlternateContent>
        <mc:AlternateContent xmlns:mc="http://schemas.openxmlformats.org/markup-compatibility/2006">
          <mc:Choice Requires="x14">
            <control shapeId="8332" r:id="rId33" name="Option Button 140">
              <controlPr defaultSize="0" autoFill="0" autoLine="0" autoPict="0">
                <anchor moveWithCells="1">
                  <from>
                    <xdr:col>18</xdr:col>
                    <xdr:colOff>190500</xdr:colOff>
                    <xdr:row>23</xdr:row>
                    <xdr:rowOff>0</xdr:rowOff>
                  </from>
                  <to>
                    <xdr:col>20</xdr:col>
                    <xdr:colOff>95250</xdr:colOff>
                    <xdr:row>24</xdr:row>
                    <xdr:rowOff>9525</xdr:rowOff>
                  </to>
                </anchor>
              </controlPr>
            </control>
          </mc:Choice>
        </mc:AlternateContent>
        <mc:AlternateContent xmlns:mc="http://schemas.openxmlformats.org/markup-compatibility/2006">
          <mc:Choice Requires="x14">
            <control shapeId="8333" r:id="rId34" name="Option Button 141">
              <controlPr defaultSize="0" autoFill="0" autoLine="0" autoPict="0">
                <anchor moveWithCells="1">
                  <from>
                    <xdr:col>25</xdr:col>
                    <xdr:colOff>190500</xdr:colOff>
                    <xdr:row>23</xdr:row>
                    <xdr:rowOff>0</xdr:rowOff>
                  </from>
                  <to>
                    <xdr:col>27</xdr:col>
                    <xdr:colOff>114300</xdr:colOff>
                    <xdr:row>24</xdr:row>
                    <xdr:rowOff>9525</xdr:rowOff>
                  </to>
                </anchor>
              </controlPr>
            </control>
          </mc:Choice>
        </mc:AlternateContent>
        <mc:AlternateContent xmlns:mc="http://schemas.openxmlformats.org/markup-compatibility/2006">
          <mc:Choice Requires="x14">
            <control shapeId="8334" r:id="rId35" name="Option Button 142">
              <controlPr defaultSize="0" autoFill="0" autoLine="0" autoPict="0">
                <anchor moveWithCells="1">
                  <from>
                    <xdr:col>14</xdr:col>
                    <xdr:colOff>9525</xdr:colOff>
                    <xdr:row>26</xdr:row>
                    <xdr:rowOff>0</xdr:rowOff>
                  </from>
                  <to>
                    <xdr:col>15</xdr:col>
                    <xdr:colOff>57150</xdr:colOff>
                    <xdr:row>27</xdr:row>
                    <xdr:rowOff>9525</xdr:rowOff>
                  </to>
                </anchor>
              </controlPr>
            </control>
          </mc:Choice>
        </mc:AlternateContent>
        <mc:AlternateContent xmlns:mc="http://schemas.openxmlformats.org/markup-compatibility/2006">
          <mc:Choice Requires="x14">
            <control shapeId="8335" r:id="rId36" name="Option Button 143">
              <controlPr defaultSize="0" autoFill="0" autoLine="0" autoPict="0">
                <anchor moveWithCells="1">
                  <from>
                    <xdr:col>17</xdr:col>
                    <xdr:colOff>9525</xdr:colOff>
                    <xdr:row>26</xdr:row>
                    <xdr:rowOff>0</xdr:rowOff>
                  </from>
                  <to>
                    <xdr:col>18</xdr:col>
                    <xdr:colOff>57150</xdr:colOff>
                    <xdr:row>27</xdr:row>
                    <xdr:rowOff>9525</xdr:rowOff>
                  </to>
                </anchor>
              </controlPr>
            </control>
          </mc:Choice>
        </mc:AlternateContent>
        <mc:AlternateContent xmlns:mc="http://schemas.openxmlformats.org/markup-compatibility/2006">
          <mc:Choice Requires="x14">
            <control shapeId="8336" r:id="rId37" name="Option Button 144">
              <controlPr defaultSize="0" autoFill="0" autoLine="0" autoPict="0">
                <anchor moveWithCells="1">
                  <from>
                    <xdr:col>21</xdr:col>
                    <xdr:colOff>9525</xdr:colOff>
                    <xdr:row>26</xdr:row>
                    <xdr:rowOff>0</xdr:rowOff>
                  </from>
                  <to>
                    <xdr:col>22</xdr:col>
                    <xdr:colOff>57150</xdr:colOff>
                    <xdr:row>27</xdr:row>
                    <xdr:rowOff>9525</xdr:rowOff>
                  </to>
                </anchor>
              </controlPr>
            </control>
          </mc:Choice>
        </mc:AlternateContent>
        <mc:AlternateContent xmlns:mc="http://schemas.openxmlformats.org/markup-compatibility/2006">
          <mc:Choice Requires="x14">
            <control shapeId="8337" r:id="rId38" name="Option Button 145">
              <controlPr defaultSize="0" autoFill="0" autoLine="0" autoPict="0">
                <anchor moveWithCells="1">
                  <from>
                    <xdr:col>24</xdr:col>
                    <xdr:colOff>9525</xdr:colOff>
                    <xdr:row>26</xdr:row>
                    <xdr:rowOff>0</xdr:rowOff>
                  </from>
                  <to>
                    <xdr:col>25</xdr:col>
                    <xdr:colOff>57150</xdr:colOff>
                    <xdr:row>27</xdr:row>
                    <xdr:rowOff>9525</xdr:rowOff>
                  </to>
                </anchor>
              </controlPr>
            </control>
          </mc:Choice>
        </mc:AlternateContent>
        <mc:AlternateContent xmlns:mc="http://schemas.openxmlformats.org/markup-compatibility/2006">
          <mc:Choice Requires="x14">
            <control shapeId="8338" r:id="rId39" name="Group Box 146">
              <controlPr defaultSize="0" autoFill="0" autoPict="0">
                <anchor moveWithCells="1">
                  <from>
                    <xdr:col>13</xdr:col>
                    <xdr:colOff>161925</xdr:colOff>
                    <xdr:row>25</xdr:row>
                    <xdr:rowOff>95250</xdr:rowOff>
                  </from>
                  <to>
                    <xdr:col>26</xdr:col>
                    <xdr:colOff>28575</xdr:colOff>
                    <xdr:row>27</xdr:row>
                    <xdr:rowOff>47625</xdr:rowOff>
                  </to>
                </anchor>
              </controlPr>
            </control>
          </mc:Choice>
        </mc:AlternateContent>
        <mc:AlternateContent xmlns:mc="http://schemas.openxmlformats.org/markup-compatibility/2006">
          <mc:Choice Requires="x14">
            <control shapeId="8299" r:id="rId40" name="Group Box 107">
              <controlPr defaultSize="0" autoFill="0" autoPict="0">
                <anchor moveWithCells="1">
                  <from>
                    <xdr:col>5</xdr:col>
                    <xdr:colOff>123825</xdr:colOff>
                    <xdr:row>28</xdr:row>
                    <xdr:rowOff>190500</xdr:rowOff>
                  </from>
                  <to>
                    <xdr:col>25</xdr:col>
                    <xdr:colOff>190500</xdr:colOff>
                    <xdr:row>30</xdr:row>
                    <xdr:rowOff>19050</xdr:rowOff>
                  </to>
                </anchor>
              </controlPr>
            </control>
          </mc:Choice>
        </mc:AlternateContent>
        <mc:AlternateContent xmlns:mc="http://schemas.openxmlformats.org/markup-compatibility/2006">
          <mc:Choice Requires="x14">
            <control shapeId="8300" r:id="rId41" name="Option Button 108">
              <controlPr defaultSize="0" autoFill="0" autoLine="0" autoPict="0">
                <anchor moveWithCells="1">
                  <from>
                    <xdr:col>7</xdr:col>
                    <xdr:colOff>9525</xdr:colOff>
                    <xdr:row>31</xdr:row>
                    <xdr:rowOff>0</xdr:rowOff>
                  </from>
                  <to>
                    <xdr:col>8</xdr:col>
                    <xdr:colOff>114300</xdr:colOff>
                    <xdr:row>32</xdr:row>
                    <xdr:rowOff>9525</xdr:rowOff>
                  </to>
                </anchor>
              </controlPr>
            </control>
          </mc:Choice>
        </mc:AlternateContent>
        <mc:AlternateContent xmlns:mc="http://schemas.openxmlformats.org/markup-compatibility/2006">
          <mc:Choice Requires="x14">
            <control shapeId="8304" r:id="rId42" name="Group Box 112">
              <controlPr defaultSize="0" autoFill="0" autoPict="0">
                <anchor moveWithCells="1">
                  <from>
                    <xdr:col>5</xdr:col>
                    <xdr:colOff>133350</xdr:colOff>
                    <xdr:row>30</xdr:row>
                    <xdr:rowOff>0</xdr:rowOff>
                  </from>
                  <to>
                    <xdr:col>9</xdr:col>
                    <xdr:colOff>114300</xdr:colOff>
                    <xdr:row>32</xdr:row>
                    <xdr:rowOff>19050</xdr:rowOff>
                  </to>
                </anchor>
              </controlPr>
            </control>
          </mc:Choice>
        </mc:AlternateContent>
        <mc:AlternateContent xmlns:mc="http://schemas.openxmlformats.org/markup-compatibility/2006">
          <mc:Choice Requires="x14">
            <control shapeId="8339" r:id="rId43" name="Option Button 147">
              <controlPr defaultSize="0" autoFill="0" autoLine="0" autoPict="0">
                <anchor moveWithCells="1">
                  <from>
                    <xdr:col>7</xdr:col>
                    <xdr:colOff>9525</xdr:colOff>
                    <xdr:row>27</xdr:row>
                    <xdr:rowOff>0</xdr:rowOff>
                  </from>
                  <to>
                    <xdr:col>8</xdr:col>
                    <xdr:colOff>38100</xdr:colOff>
                    <xdr:row>28</xdr:row>
                    <xdr:rowOff>0</xdr:rowOff>
                  </to>
                </anchor>
              </controlPr>
            </control>
          </mc:Choice>
        </mc:AlternateContent>
        <mc:AlternateContent xmlns:mc="http://schemas.openxmlformats.org/markup-compatibility/2006">
          <mc:Choice Requires="x14">
            <control shapeId="8340" r:id="rId44" name="Option Button 148">
              <controlPr defaultSize="0" autoFill="0" autoLine="0" autoPict="0">
                <anchor moveWithCells="1">
                  <from>
                    <xdr:col>7</xdr:col>
                    <xdr:colOff>9525</xdr:colOff>
                    <xdr:row>28</xdr:row>
                    <xdr:rowOff>0</xdr:rowOff>
                  </from>
                  <to>
                    <xdr:col>8</xdr:col>
                    <xdr:colOff>38100</xdr:colOff>
                    <xdr:row>29</xdr:row>
                    <xdr:rowOff>0</xdr:rowOff>
                  </to>
                </anchor>
              </controlPr>
            </control>
          </mc:Choice>
        </mc:AlternateContent>
        <mc:AlternateContent xmlns:mc="http://schemas.openxmlformats.org/markup-compatibility/2006">
          <mc:Choice Requires="x14">
            <control shapeId="8341" r:id="rId45" name="Group Box 149">
              <controlPr defaultSize="0" autoFill="0" autoPict="0">
                <anchor moveWithCells="1">
                  <from>
                    <xdr:col>6</xdr:col>
                    <xdr:colOff>123825</xdr:colOff>
                    <xdr:row>26</xdr:row>
                    <xdr:rowOff>219075</xdr:rowOff>
                  </from>
                  <to>
                    <xdr:col>8</xdr:col>
                    <xdr:colOff>95250</xdr:colOff>
                    <xdr:row>29</xdr:row>
                    <xdr:rowOff>9525</xdr:rowOff>
                  </to>
                </anchor>
              </controlPr>
            </control>
          </mc:Choice>
        </mc:AlternateContent>
        <mc:AlternateContent xmlns:mc="http://schemas.openxmlformats.org/markup-compatibility/2006">
          <mc:Choice Requires="x14">
            <control shapeId="8316" r:id="rId46" name="Group Box 124">
              <controlPr defaultSize="0" autoFill="0" autoPict="0">
                <anchor moveWithCells="1">
                  <from>
                    <xdr:col>5</xdr:col>
                    <xdr:colOff>85725</xdr:colOff>
                    <xdr:row>33</xdr:row>
                    <xdr:rowOff>190500</xdr:rowOff>
                  </from>
                  <to>
                    <xdr:col>12</xdr:col>
                    <xdr:colOff>85725</xdr:colOff>
                    <xdr:row>35</xdr:row>
                    <xdr:rowOff>76200</xdr:rowOff>
                  </to>
                </anchor>
              </controlPr>
            </control>
          </mc:Choice>
        </mc:AlternateContent>
        <mc:AlternateContent xmlns:mc="http://schemas.openxmlformats.org/markup-compatibility/2006">
          <mc:Choice Requires="x14">
            <control shapeId="8350" r:id="rId47" name="Option Button 158">
              <controlPr defaultSize="0" autoFill="0" autoLine="0" autoPict="0">
                <anchor moveWithCells="1">
                  <from>
                    <xdr:col>5</xdr:col>
                    <xdr:colOff>190500</xdr:colOff>
                    <xdr:row>5</xdr:row>
                    <xdr:rowOff>19050</xdr:rowOff>
                  </from>
                  <to>
                    <xdr:col>7</xdr:col>
                    <xdr:colOff>123825</xdr:colOff>
                    <xdr:row>6</xdr:row>
                    <xdr:rowOff>0</xdr:rowOff>
                  </to>
                </anchor>
              </controlPr>
            </control>
          </mc:Choice>
        </mc:AlternateContent>
        <mc:AlternateContent xmlns:mc="http://schemas.openxmlformats.org/markup-compatibility/2006">
          <mc:Choice Requires="x14">
            <control shapeId="8351" r:id="rId48" name="Option Button 159">
              <controlPr defaultSize="0" autoFill="0" autoLine="0" autoPict="0">
                <anchor moveWithCells="1">
                  <from>
                    <xdr:col>12</xdr:col>
                    <xdr:colOff>180975</xdr:colOff>
                    <xdr:row>5</xdr:row>
                    <xdr:rowOff>0</xdr:rowOff>
                  </from>
                  <to>
                    <xdr:col>14</xdr:col>
                    <xdr:colOff>114300</xdr:colOff>
                    <xdr:row>5</xdr:row>
                    <xdr:rowOff>200025</xdr:rowOff>
                  </to>
                </anchor>
              </controlPr>
            </control>
          </mc:Choice>
        </mc:AlternateContent>
        <mc:AlternateContent xmlns:mc="http://schemas.openxmlformats.org/markup-compatibility/2006">
          <mc:Choice Requires="x14">
            <control shapeId="8352" r:id="rId49" name="Option Button 160">
              <controlPr defaultSize="0" autoFill="0" autoLine="0" autoPict="0">
                <anchor moveWithCells="1">
                  <from>
                    <xdr:col>19</xdr:col>
                    <xdr:colOff>180975</xdr:colOff>
                    <xdr:row>5</xdr:row>
                    <xdr:rowOff>0</xdr:rowOff>
                  </from>
                  <to>
                    <xdr:col>21</xdr:col>
                    <xdr:colOff>114300</xdr:colOff>
                    <xdr:row>6</xdr:row>
                    <xdr:rowOff>0</xdr:rowOff>
                  </to>
                </anchor>
              </controlPr>
            </control>
          </mc:Choice>
        </mc:AlternateContent>
        <mc:AlternateContent xmlns:mc="http://schemas.openxmlformats.org/markup-compatibility/2006">
          <mc:Choice Requires="x14">
            <control shapeId="8353" r:id="rId50" name="Group Box 161">
              <controlPr defaultSize="0" autoFill="0" autoPict="0">
                <anchor moveWithCells="1">
                  <from>
                    <xdr:col>5</xdr:col>
                    <xdr:colOff>19050</xdr:colOff>
                    <xdr:row>4</xdr:row>
                    <xdr:rowOff>266700</xdr:rowOff>
                  </from>
                  <to>
                    <xdr:col>26</xdr:col>
                    <xdr:colOff>76200</xdr:colOff>
                    <xdr:row>6</xdr:row>
                    <xdr:rowOff>142875</xdr:rowOff>
                  </to>
                </anchor>
              </controlPr>
            </control>
          </mc:Choice>
        </mc:AlternateContent>
        <mc:AlternateContent xmlns:mc="http://schemas.openxmlformats.org/markup-compatibility/2006">
          <mc:Choice Requires="x14">
            <control shapeId="8321" r:id="rId51" name="Option Button 129">
              <controlPr defaultSize="0" autoFill="0" autoLine="0" autoPict="0">
                <anchor moveWithCells="1">
                  <from>
                    <xdr:col>32</xdr:col>
                    <xdr:colOff>9525</xdr:colOff>
                    <xdr:row>22</xdr:row>
                    <xdr:rowOff>228600</xdr:rowOff>
                  </from>
                  <to>
                    <xdr:col>33</xdr:col>
                    <xdr:colOff>123825</xdr:colOff>
                    <xdr:row>24</xdr:row>
                    <xdr:rowOff>9525</xdr:rowOff>
                  </to>
                </anchor>
              </controlPr>
            </control>
          </mc:Choice>
        </mc:AlternateContent>
        <mc:AlternateContent xmlns:mc="http://schemas.openxmlformats.org/markup-compatibility/2006">
          <mc:Choice Requires="x14">
            <control shapeId="8276" r:id="rId52" name="Group Box 84">
              <controlPr defaultSize="0" autoFill="0" autoPict="0">
                <anchor moveWithCells="1">
                  <from>
                    <xdr:col>5</xdr:col>
                    <xdr:colOff>123825</xdr:colOff>
                    <xdr:row>20</xdr:row>
                    <xdr:rowOff>285750</xdr:rowOff>
                  </from>
                  <to>
                    <xdr:col>40</xdr:col>
                    <xdr:colOff>85725</xdr:colOff>
                    <xdr:row>25</xdr:row>
                    <xdr:rowOff>152400</xdr:rowOff>
                  </to>
                </anchor>
              </controlPr>
            </control>
          </mc:Choice>
        </mc:AlternateContent>
        <mc:AlternateContent xmlns:mc="http://schemas.openxmlformats.org/markup-compatibility/2006">
          <mc:Choice Requires="x14">
            <control shapeId="8322" r:id="rId53" name="Option Button 130">
              <controlPr defaultSize="0" autoFill="0" autoLine="0" autoPict="0">
                <anchor moveWithCells="1">
                  <from>
                    <xdr:col>7</xdr:col>
                    <xdr:colOff>0</xdr:colOff>
                    <xdr:row>24</xdr:row>
                    <xdr:rowOff>0</xdr:rowOff>
                  </from>
                  <to>
                    <xdr:col>8</xdr:col>
                    <xdr:colOff>104775</xdr:colOff>
                    <xdr:row>25</xdr:row>
                    <xdr:rowOff>9525</xdr:rowOff>
                  </to>
                </anchor>
              </controlPr>
            </control>
          </mc:Choice>
        </mc:AlternateContent>
        <mc:AlternateContent xmlns:mc="http://schemas.openxmlformats.org/markup-compatibility/2006">
          <mc:Choice Requires="x14">
            <control shapeId="8323" r:id="rId54" name="Option Button 131">
              <controlPr defaultSize="0" autoFill="0" autoLine="0" autoPict="0">
                <anchor moveWithCells="1">
                  <from>
                    <xdr:col>12</xdr:col>
                    <xdr:colOff>0</xdr:colOff>
                    <xdr:row>24</xdr:row>
                    <xdr:rowOff>9525</xdr:rowOff>
                  </from>
                  <to>
                    <xdr:col>13</xdr:col>
                    <xdr:colOff>104775</xdr:colOff>
                    <xdr:row>25</xdr:row>
                    <xdr:rowOff>19050</xdr:rowOff>
                  </to>
                </anchor>
              </controlPr>
            </control>
          </mc:Choice>
        </mc:AlternateContent>
        <mc:AlternateContent xmlns:mc="http://schemas.openxmlformats.org/markup-compatibility/2006">
          <mc:Choice Requires="x14">
            <control shapeId="8324" r:id="rId55" name="Option Button 132">
              <controlPr defaultSize="0" autoFill="0" autoLine="0" autoPict="0">
                <anchor moveWithCells="1">
                  <from>
                    <xdr:col>17</xdr:col>
                    <xdr:colOff>9525</xdr:colOff>
                    <xdr:row>24</xdr:row>
                    <xdr:rowOff>9525</xdr:rowOff>
                  </from>
                  <to>
                    <xdr:col>18</xdr:col>
                    <xdr:colOff>114300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93955-031C-426B-B373-539D35AECB15}">
  <sheetPr codeName="Sheet8"/>
  <dimension ref="A1:K70"/>
  <sheetViews>
    <sheetView topLeftCell="A25" zoomScale="130" zoomScaleNormal="130" workbookViewId="0">
      <selection activeCell="G30" sqref="G30"/>
    </sheetView>
  </sheetViews>
  <sheetFormatPr defaultRowHeight="13.5"/>
  <cols>
    <col min="1" max="2" width="2.625" customWidth="1"/>
    <col min="4" max="4" width="12.875" customWidth="1"/>
  </cols>
  <sheetData>
    <row r="1" spans="1:11">
      <c r="A1" t="s">
        <v>121</v>
      </c>
      <c r="E1" s="3" t="s">
        <v>122</v>
      </c>
    </row>
    <row r="2" spans="1:11">
      <c r="A2" t="s">
        <v>123</v>
      </c>
    </row>
    <row r="3" spans="1:11">
      <c r="A3" s="241" t="s">
        <v>124</v>
      </c>
      <c r="B3" s="242"/>
      <c r="C3" s="242"/>
      <c r="D3" s="242"/>
      <c r="E3" s="242"/>
      <c r="F3" s="242"/>
      <c r="G3" s="242"/>
      <c r="H3" s="242"/>
      <c r="I3" s="242"/>
      <c r="J3" s="242"/>
      <c r="K3" s="243"/>
    </row>
    <row r="4" spans="1:11">
      <c r="A4" s="244" t="s">
        <v>125</v>
      </c>
      <c r="B4" s="245"/>
      <c r="C4" s="248" t="s">
        <v>126</v>
      </c>
      <c r="D4" s="249"/>
      <c r="E4" s="252" t="s">
        <v>127</v>
      </c>
      <c r="F4" s="254" t="s">
        <v>128</v>
      </c>
      <c r="G4" s="256" t="s">
        <v>129</v>
      </c>
      <c r="H4" s="258" t="s">
        <v>130</v>
      </c>
      <c r="I4" s="259"/>
      <c r="J4" s="231" t="s">
        <v>131</v>
      </c>
      <c r="K4" s="231" t="s">
        <v>132</v>
      </c>
    </row>
    <row r="5" spans="1:11">
      <c r="A5" s="246"/>
      <c r="B5" s="247"/>
      <c r="C5" s="250"/>
      <c r="D5" s="251"/>
      <c r="E5" s="253"/>
      <c r="F5" s="255"/>
      <c r="G5" s="257"/>
      <c r="H5" s="5" t="s">
        <v>133</v>
      </c>
      <c r="I5" s="5" t="s">
        <v>134</v>
      </c>
      <c r="J5" s="232"/>
      <c r="K5" s="232"/>
    </row>
    <row r="6" spans="1:11">
      <c r="A6" s="271" t="s">
        <v>135</v>
      </c>
      <c r="B6" s="272"/>
      <c r="C6" s="272"/>
      <c r="D6" s="272"/>
      <c r="E6" s="272"/>
      <c r="F6" s="272"/>
      <c r="G6" s="272"/>
      <c r="H6" s="272"/>
      <c r="I6" s="272"/>
      <c r="J6" s="272"/>
      <c r="K6" s="273"/>
    </row>
    <row r="7" spans="1:11" ht="63">
      <c r="A7" s="274"/>
      <c r="B7" s="17">
        <v>1</v>
      </c>
      <c r="C7" s="276" t="s">
        <v>136</v>
      </c>
      <c r="D7" s="277"/>
      <c r="E7" s="12" t="s">
        <v>137</v>
      </c>
      <c r="F7" s="19">
        <v>15000</v>
      </c>
      <c r="G7" s="16"/>
      <c r="H7" s="16" t="s">
        <v>138</v>
      </c>
      <c r="I7" s="12" t="s">
        <v>139</v>
      </c>
      <c r="J7" s="16" t="s">
        <v>140</v>
      </c>
      <c r="K7" s="252" t="s">
        <v>141</v>
      </c>
    </row>
    <row r="8" spans="1:11" ht="18">
      <c r="A8" s="274"/>
      <c r="B8" s="17">
        <v>2</v>
      </c>
      <c r="C8" s="252" t="s">
        <v>142</v>
      </c>
      <c r="D8" s="4" t="s">
        <v>143</v>
      </c>
      <c r="E8" s="12" t="s">
        <v>137</v>
      </c>
      <c r="F8" s="19">
        <v>15300</v>
      </c>
      <c r="G8" s="16"/>
      <c r="H8" s="13">
        <v>0.1021</v>
      </c>
      <c r="I8" s="12" t="s">
        <v>144</v>
      </c>
      <c r="J8" s="237" t="s">
        <v>145</v>
      </c>
      <c r="K8" s="267"/>
    </row>
    <row r="9" spans="1:11" ht="27">
      <c r="A9" s="274"/>
      <c r="B9" s="17">
        <v>3</v>
      </c>
      <c r="C9" s="267"/>
      <c r="D9" s="4" t="s">
        <v>146</v>
      </c>
      <c r="E9" s="12" t="s">
        <v>137</v>
      </c>
      <c r="F9" s="19">
        <v>101900</v>
      </c>
      <c r="G9" s="4" t="s">
        <v>147</v>
      </c>
      <c r="H9" s="13">
        <v>0.1021</v>
      </c>
      <c r="I9" s="12" t="s">
        <v>144</v>
      </c>
      <c r="J9" s="266"/>
      <c r="K9" s="267"/>
    </row>
    <row r="10" spans="1:11">
      <c r="A10" s="274"/>
      <c r="B10" s="17">
        <v>4</v>
      </c>
      <c r="C10" s="253"/>
      <c r="D10" s="11" t="s">
        <v>148</v>
      </c>
      <c r="E10" s="12" t="s">
        <v>137</v>
      </c>
      <c r="F10" s="19">
        <v>15300</v>
      </c>
      <c r="G10" s="16"/>
      <c r="H10" s="12" t="s">
        <v>149</v>
      </c>
      <c r="I10" s="12" t="s">
        <v>144</v>
      </c>
      <c r="J10" s="238"/>
      <c r="K10" s="267"/>
    </row>
    <row r="11" spans="1:11">
      <c r="A11" s="274"/>
      <c r="B11" s="18">
        <v>5</v>
      </c>
      <c r="C11" s="252" t="s">
        <v>150</v>
      </c>
      <c r="D11" s="4" t="s">
        <v>151</v>
      </c>
      <c r="E11" s="5" t="s">
        <v>137</v>
      </c>
      <c r="F11" s="20">
        <v>40800</v>
      </c>
      <c r="G11" s="252" t="s">
        <v>152</v>
      </c>
      <c r="H11" s="268">
        <v>0.1021</v>
      </c>
      <c r="I11" s="231" t="s">
        <v>144</v>
      </c>
      <c r="J11" s="252" t="s">
        <v>153</v>
      </c>
      <c r="K11" s="267"/>
    </row>
    <row r="12" spans="1:11">
      <c r="A12" s="274"/>
      <c r="B12" s="18">
        <v>6</v>
      </c>
      <c r="C12" s="267"/>
      <c r="D12" s="4" t="s">
        <v>154</v>
      </c>
      <c r="E12" s="5" t="s">
        <v>137</v>
      </c>
      <c r="F12" s="20">
        <v>25500</v>
      </c>
      <c r="G12" s="267"/>
      <c r="H12" s="269"/>
      <c r="I12" s="280"/>
      <c r="J12" s="267"/>
      <c r="K12" s="267"/>
    </row>
    <row r="13" spans="1:11">
      <c r="A13" s="274"/>
      <c r="B13" s="18">
        <v>7</v>
      </c>
      <c r="C13" s="267"/>
      <c r="D13" s="4" t="s">
        <v>155</v>
      </c>
      <c r="E13" s="5" t="s">
        <v>137</v>
      </c>
      <c r="F13" s="20">
        <v>101900</v>
      </c>
      <c r="G13" s="267"/>
      <c r="H13" s="269"/>
      <c r="I13" s="280"/>
      <c r="J13" s="267"/>
      <c r="K13" s="267"/>
    </row>
    <row r="14" spans="1:11">
      <c r="A14" s="274"/>
      <c r="B14" s="18">
        <v>8</v>
      </c>
      <c r="C14" s="253"/>
      <c r="D14" s="4" t="s">
        <v>156</v>
      </c>
      <c r="E14" s="5" t="s">
        <v>137</v>
      </c>
      <c r="F14" s="20">
        <v>203800</v>
      </c>
      <c r="G14" s="253"/>
      <c r="H14" s="270"/>
      <c r="I14" s="232"/>
      <c r="J14" s="253"/>
      <c r="K14" s="267"/>
    </row>
    <row r="15" spans="1:11">
      <c r="A15" s="274"/>
      <c r="B15" s="18">
        <v>9</v>
      </c>
      <c r="C15" s="260" t="s">
        <v>157</v>
      </c>
      <c r="D15" s="4" t="s">
        <v>158</v>
      </c>
      <c r="E15" s="5" t="s">
        <v>159</v>
      </c>
      <c r="F15" s="20">
        <v>7000</v>
      </c>
      <c r="G15" s="260" t="s">
        <v>160</v>
      </c>
      <c r="H15" s="262">
        <v>0.1021</v>
      </c>
      <c r="I15" s="264" t="s">
        <v>144</v>
      </c>
      <c r="J15" s="260" t="s">
        <v>153</v>
      </c>
      <c r="K15" s="267"/>
    </row>
    <row r="16" spans="1:11">
      <c r="A16" s="274"/>
      <c r="B16" s="18">
        <v>10</v>
      </c>
      <c r="C16" s="261"/>
      <c r="D16" s="4" t="s">
        <v>161</v>
      </c>
      <c r="E16" s="5" t="s">
        <v>159</v>
      </c>
      <c r="F16" s="20">
        <v>8100</v>
      </c>
      <c r="G16" s="261"/>
      <c r="H16" s="263"/>
      <c r="I16" s="265"/>
      <c r="J16" s="261"/>
      <c r="K16" s="267"/>
    </row>
    <row r="17" spans="1:11">
      <c r="A17" s="274"/>
      <c r="B17" s="18">
        <v>11</v>
      </c>
      <c r="C17" s="260" t="s">
        <v>162</v>
      </c>
      <c r="D17" s="4" t="s">
        <v>158</v>
      </c>
      <c r="E17" s="5" t="s">
        <v>159</v>
      </c>
      <c r="F17" s="20">
        <v>4300</v>
      </c>
      <c r="G17" s="252" t="s">
        <v>163</v>
      </c>
      <c r="H17" s="262">
        <v>0.1021</v>
      </c>
      <c r="I17" s="264" t="s">
        <v>144</v>
      </c>
      <c r="J17" s="260" t="s">
        <v>153</v>
      </c>
      <c r="K17" s="267"/>
    </row>
    <row r="18" spans="1:11">
      <c r="A18" s="274"/>
      <c r="B18" s="18">
        <v>12</v>
      </c>
      <c r="C18" s="261"/>
      <c r="D18" s="4" t="s">
        <v>161</v>
      </c>
      <c r="E18" s="5" t="s">
        <v>159</v>
      </c>
      <c r="F18" s="20">
        <v>5100</v>
      </c>
      <c r="G18" s="253"/>
      <c r="H18" s="263"/>
      <c r="I18" s="265"/>
      <c r="J18" s="261"/>
      <c r="K18" s="267"/>
    </row>
    <row r="19" spans="1:11" ht="45" customHeight="1">
      <c r="A19" s="274"/>
      <c r="B19" s="17">
        <v>13</v>
      </c>
      <c r="C19" s="233" t="s">
        <v>164</v>
      </c>
      <c r="D19" s="234"/>
      <c r="E19" s="12" t="s">
        <v>137</v>
      </c>
      <c r="F19" s="19">
        <v>7800</v>
      </c>
      <c r="G19" s="11" t="s">
        <v>165</v>
      </c>
      <c r="H19" s="16" t="s">
        <v>138</v>
      </c>
      <c r="I19" s="12" t="s">
        <v>139</v>
      </c>
      <c r="J19" s="237" t="s">
        <v>166</v>
      </c>
      <c r="K19" s="267"/>
    </row>
    <row r="20" spans="1:11" ht="45" customHeight="1">
      <c r="A20" s="274"/>
      <c r="B20" s="17">
        <v>14</v>
      </c>
      <c r="C20" s="235"/>
      <c r="D20" s="236"/>
      <c r="E20" s="12" t="s">
        <v>159</v>
      </c>
      <c r="F20" s="19">
        <v>2800</v>
      </c>
      <c r="G20" s="11" t="s">
        <v>167</v>
      </c>
      <c r="H20" s="12" t="s">
        <v>149</v>
      </c>
      <c r="I20" s="12" t="s">
        <v>144</v>
      </c>
      <c r="J20" s="238"/>
      <c r="K20" s="267"/>
    </row>
    <row r="21" spans="1:11" ht="27">
      <c r="A21" s="274"/>
      <c r="B21" s="18">
        <v>15</v>
      </c>
      <c r="C21" s="239" t="s">
        <v>168</v>
      </c>
      <c r="D21" s="240"/>
      <c r="E21" s="5" t="s">
        <v>159</v>
      </c>
      <c r="F21" s="20">
        <v>6700</v>
      </c>
      <c r="G21" s="16"/>
      <c r="H21" s="5" t="s">
        <v>169</v>
      </c>
      <c r="I21" s="5" t="s">
        <v>139</v>
      </c>
      <c r="J21" s="16" t="s">
        <v>170</v>
      </c>
      <c r="K21" s="267"/>
    </row>
    <row r="22" spans="1:11" ht="27">
      <c r="A22" s="274"/>
      <c r="B22" s="18">
        <v>16</v>
      </c>
      <c r="C22" s="239" t="s">
        <v>171</v>
      </c>
      <c r="D22" s="240"/>
      <c r="E22" s="5" t="s">
        <v>159</v>
      </c>
      <c r="F22" s="20">
        <v>6700</v>
      </c>
      <c r="G22" s="16"/>
      <c r="H22" s="16" t="s">
        <v>138</v>
      </c>
      <c r="I22" s="5" t="s">
        <v>139</v>
      </c>
      <c r="J22" s="16" t="s">
        <v>170</v>
      </c>
      <c r="K22" s="267"/>
    </row>
    <row r="23" spans="1:11" ht="27">
      <c r="A23" s="274"/>
      <c r="B23" s="18">
        <v>17</v>
      </c>
      <c r="C23" s="239" t="s">
        <v>172</v>
      </c>
      <c r="D23" s="240"/>
      <c r="E23" s="5" t="s">
        <v>159</v>
      </c>
      <c r="F23" s="20">
        <v>6700</v>
      </c>
      <c r="G23" s="16"/>
      <c r="H23" s="16" t="s">
        <v>138</v>
      </c>
      <c r="I23" s="5" t="s">
        <v>139</v>
      </c>
      <c r="J23" s="16" t="s">
        <v>170</v>
      </c>
      <c r="K23" s="267"/>
    </row>
    <row r="24" spans="1:11">
      <c r="A24" s="274"/>
      <c r="B24" s="18">
        <v>18</v>
      </c>
      <c r="C24" s="260" t="s">
        <v>173</v>
      </c>
      <c r="D24" s="4" t="s">
        <v>174</v>
      </c>
      <c r="E24" s="5" t="s">
        <v>175</v>
      </c>
      <c r="F24" s="20">
        <v>44900</v>
      </c>
      <c r="G24" s="237"/>
      <c r="H24" s="262">
        <v>0.1021</v>
      </c>
      <c r="I24" s="264" t="s">
        <v>144</v>
      </c>
      <c r="J24" s="260" t="s">
        <v>153</v>
      </c>
      <c r="K24" s="267"/>
    </row>
    <row r="25" spans="1:11">
      <c r="A25" s="274"/>
      <c r="B25" s="18">
        <v>19</v>
      </c>
      <c r="C25" s="261"/>
      <c r="D25" s="4" t="s">
        <v>176</v>
      </c>
      <c r="E25" s="5" t="s">
        <v>175</v>
      </c>
      <c r="F25" s="20">
        <v>62200</v>
      </c>
      <c r="G25" s="238"/>
      <c r="H25" s="263"/>
      <c r="I25" s="265"/>
      <c r="J25" s="261"/>
      <c r="K25" s="267"/>
    </row>
    <row r="26" spans="1:11">
      <c r="A26" s="274"/>
      <c r="B26" s="18">
        <v>20</v>
      </c>
      <c r="C26" s="260" t="s">
        <v>177</v>
      </c>
      <c r="D26" s="4" t="s">
        <v>174</v>
      </c>
      <c r="E26" s="5" t="s">
        <v>159</v>
      </c>
      <c r="F26" s="20">
        <v>3800</v>
      </c>
      <c r="G26" s="237"/>
      <c r="H26" s="262">
        <v>0.1021</v>
      </c>
      <c r="I26" s="264" t="s">
        <v>144</v>
      </c>
      <c r="J26" s="260" t="s">
        <v>153</v>
      </c>
      <c r="K26" s="267"/>
    </row>
    <row r="27" spans="1:11">
      <c r="A27" s="274"/>
      <c r="B27" s="18">
        <v>21</v>
      </c>
      <c r="C27" s="261"/>
      <c r="D27" s="4" t="s">
        <v>176</v>
      </c>
      <c r="E27" s="5" t="s">
        <v>159</v>
      </c>
      <c r="F27" s="20">
        <v>4400</v>
      </c>
      <c r="G27" s="238"/>
      <c r="H27" s="263"/>
      <c r="I27" s="265"/>
      <c r="J27" s="261"/>
      <c r="K27" s="267"/>
    </row>
    <row r="28" spans="1:11" ht="45">
      <c r="A28" s="274"/>
      <c r="B28" s="17">
        <v>22</v>
      </c>
      <c r="C28" s="11" t="s">
        <v>178</v>
      </c>
      <c r="D28" s="16"/>
      <c r="E28" s="12" t="s">
        <v>159</v>
      </c>
      <c r="F28" s="19">
        <v>3100</v>
      </c>
      <c r="G28" s="16"/>
      <c r="H28" s="12" t="s">
        <v>149</v>
      </c>
      <c r="I28" s="12" t="s">
        <v>144</v>
      </c>
      <c r="J28" s="16" t="s">
        <v>179</v>
      </c>
      <c r="K28" s="267"/>
    </row>
    <row r="29" spans="1:11">
      <c r="A29" s="274"/>
      <c r="B29" s="18">
        <v>23</v>
      </c>
      <c r="C29" s="252" t="s">
        <v>180</v>
      </c>
      <c r="D29" s="4" t="s">
        <v>181</v>
      </c>
      <c r="E29" s="5" t="s">
        <v>175</v>
      </c>
      <c r="F29" s="20">
        <v>7000</v>
      </c>
      <c r="G29" s="9"/>
      <c r="H29" s="256" t="s">
        <v>149</v>
      </c>
      <c r="I29" s="231" t="s">
        <v>139</v>
      </c>
      <c r="J29" s="252" t="s">
        <v>182</v>
      </c>
      <c r="K29" s="267"/>
    </row>
    <row r="30" spans="1:11" ht="81">
      <c r="A30" s="275"/>
      <c r="B30" s="17">
        <v>24</v>
      </c>
      <c r="C30" s="253"/>
      <c r="D30" s="11" t="s">
        <v>183</v>
      </c>
      <c r="E30" s="12" t="s">
        <v>159</v>
      </c>
      <c r="F30" s="21" t="s">
        <v>184</v>
      </c>
      <c r="G30" s="4" t="s">
        <v>185</v>
      </c>
      <c r="H30" s="257"/>
      <c r="I30" s="232"/>
      <c r="J30" s="253"/>
      <c r="K30" s="253"/>
    </row>
    <row r="31" spans="1:11">
      <c r="A31" s="244" t="s">
        <v>125</v>
      </c>
      <c r="B31" s="245"/>
      <c r="C31" s="248" t="s">
        <v>126</v>
      </c>
      <c r="D31" s="249"/>
      <c r="E31" s="252" t="s">
        <v>127</v>
      </c>
      <c r="F31" s="252" t="s">
        <v>128</v>
      </c>
      <c r="G31" s="278" t="s">
        <v>129</v>
      </c>
      <c r="H31" s="258" t="s">
        <v>130</v>
      </c>
      <c r="I31" s="259"/>
      <c r="J31" s="231" t="s">
        <v>131</v>
      </c>
      <c r="K31" s="231" t="s">
        <v>132</v>
      </c>
    </row>
    <row r="32" spans="1:11">
      <c r="A32" s="246"/>
      <c r="B32" s="247"/>
      <c r="C32" s="250"/>
      <c r="D32" s="251"/>
      <c r="E32" s="253"/>
      <c r="F32" s="253"/>
      <c r="G32" s="279"/>
      <c r="H32" s="12" t="s">
        <v>133</v>
      </c>
      <c r="I32" s="12" t="s">
        <v>134</v>
      </c>
      <c r="J32" s="232"/>
      <c r="K32" s="232"/>
    </row>
    <row r="33" spans="1:11">
      <c r="A33" s="281" t="s">
        <v>186</v>
      </c>
      <c r="B33" s="282"/>
      <c r="C33" s="282"/>
      <c r="D33" s="282"/>
      <c r="E33" s="282"/>
      <c r="F33" s="282"/>
      <c r="G33" s="282"/>
      <c r="H33" s="282"/>
      <c r="I33" s="282"/>
      <c r="J33" s="282"/>
      <c r="K33" s="283"/>
    </row>
    <row r="34" spans="1:11" ht="40.5" customHeight="1">
      <c r="A34" s="284"/>
      <c r="B34" s="8">
        <v>25</v>
      </c>
      <c r="C34" s="252" t="s">
        <v>187</v>
      </c>
      <c r="D34" s="11" t="s">
        <v>188</v>
      </c>
      <c r="E34" s="10" t="s">
        <v>189</v>
      </c>
      <c r="F34" s="22" t="s">
        <v>184</v>
      </c>
      <c r="G34" s="237" t="s">
        <v>190</v>
      </c>
      <c r="H34" s="5" t="s">
        <v>191</v>
      </c>
      <c r="I34" s="5" t="s">
        <v>139</v>
      </c>
      <c r="J34" s="237"/>
      <c r="K34" s="286" t="s">
        <v>192</v>
      </c>
    </row>
    <row r="35" spans="1:11" ht="40.5" customHeight="1">
      <c r="A35" s="284"/>
      <c r="B35" s="15">
        <v>26</v>
      </c>
      <c r="C35" s="253"/>
      <c r="D35" s="11" t="s">
        <v>193</v>
      </c>
      <c r="E35" s="10" t="s">
        <v>189</v>
      </c>
      <c r="F35" s="22" t="s">
        <v>184</v>
      </c>
      <c r="G35" s="238"/>
      <c r="H35" s="12" t="s">
        <v>169</v>
      </c>
      <c r="I35" s="12" t="s">
        <v>139</v>
      </c>
      <c r="J35" s="238"/>
      <c r="K35" s="287"/>
    </row>
    <row r="36" spans="1:11" ht="27">
      <c r="A36" s="285"/>
      <c r="B36" s="8">
        <v>27</v>
      </c>
      <c r="C36" s="239" t="s">
        <v>194</v>
      </c>
      <c r="D36" s="240"/>
      <c r="E36" s="7" t="s">
        <v>159</v>
      </c>
      <c r="F36" s="20">
        <v>1000</v>
      </c>
      <c r="G36" s="16"/>
      <c r="H36" s="5" t="s">
        <v>169</v>
      </c>
      <c r="I36" s="5" t="s">
        <v>139</v>
      </c>
      <c r="J36" s="4" t="s">
        <v>195</v>
      </c>
      <c r="K36" s="288"/>
    </row>
    <row r="37" spans="1:11">
      <c r="A37" s="292" t="s">
        <v>196</v>
      </c>
      <c r="B37" s="293"/>
      <c r="C37" s="293"/>
      <c r="D37" s="293"/>
      <c r="E37" s="293"/>
      <c r="F37" s="293"/>
      <c r="G37" s="293"/>
      <c r="H37" s="293"/>
      <c r="I37" s="293"/>
      <c r="J37" s="293"/>
      <c r="K37" s="294"/>
    </row>
    <row r="38" spans="1:11" ht="18">
      <c r="A38" s="295"/>
      <c r="B38" s="15">
        <v>28</v>
      </c>
      <c r="C38" s="252" t="s">
        <v>197</v>
      </c>
      <c r="D38" s="252" t="s">
        <v>158</v>
      </c>
      <c r="E38" s="14" t="s">
        <v>198</v>
      </c>
      <c r="F38" s="19">
        <v>1800</v>
      </c>
      <c r="G38" s="4" t="s">
        <v>199</v>
      </c>
      <c r="H38" s="268">
        <v>0.1021</v>
      </c>
      <c r="I38" s="231" t="s">
        <v>144</v>
      </c>
      <c r="J38" s="289" t="s">
        <v>200</v>
      </c>
      <c r="K38" s="252" t="s">
        <v>201</v>
      </c>
    </row>
    <row r="39" spans="1:11" ht="27">
      <c r="A39" s="295"/>
      <c r="B39" s="15">
        <v>29</v>
      </c>
      <c r="C39" s="267"/>
      <c r="D39" s="253"/>
      <c r="E39" s="14" t="s">
        <v>198</v>
      </c>
      <c r="F39" s="19">
        <v>2000</v>
      </c>
      <c r="G39" s="16" t="s">
        <v>202</v>
      </c>
      <c r="H39" s="269"/>
      <c r="I39" s="280"/>
      <c r="J39" s="290"/>
      <c r="K39" s="267"/>
    </row>
    <row r="40" spans="1:11" ht="18">
      <c r="A40" s="295"/>
      <c r="B40" s="15">
        <v>30</v>
      </c>
      <c r="C40" s="267"/>
      <c r="D40" s="252" t="s">
        <v>161</v>
      </c>
      <c r="E40" s="14" t="s">
        <v>198</v>
      </c>
      <c r="F40" s="19">
        <v>3100</v>
      </c>
      <c r="G40" s="4" t="s">
        <v>199</v>
      </c>
      <c r="H40" s="269"/>
      <c r="I40" s="280"/>
      <c r="J40" s="290"/>
      <c r="K40" s="267"/>
    </row>
    <row r="41" spans="1:11" ht="27">
      <c r="A41" s="295"/>
      <c r="B41" s="15">
        <v>31</v>
      </c>
      <c r="C41" s="267"/>
      <c r="D41" s="253"/>
      <c r="E41" s="14" t="s">
        <v>198</v>
      </c>
      <c r="F41" s="19">
        <v>3700</v>
      </c>
      <c r="G41" s="16" t="s">
        <v>202</v>
      </c>
      <c r="H41" s="269"/>
      <c r="I41" s="280"/>
      <c r="J41" s="290"/>
      <c r="K41" s="267"/>
    </row>
    <row r="42" spans="1:11">
      <c r="A42" s="295"/>
      <c r="B42" s="15">
        <v>32</v>
      </c>
      <c r="C42" s="253"/>
      <c r="D42" s="11" t="s">
        <v>203</v>
      </c>
      <c r="E42" s="14" t="s">
        <v>204</v>
      </c>
      <c r="F42" s="19">
        <v>3500</v>
      </c>
      <c r="G42" s="9"/>
      <c r="H42" s="270"/>
      <c r="I42" s="232"/>
      <c r="J42" s="291"/>
      <c r="K42" s="267"/>
    </row>
    <row r="43" spans="1:11">
      <c r="A43" s="295"/>
      <c r="B43" s="8">
        <v>33</v>
      </c>
      <c r="C43" s="252" t="s">
        <v>205</v>
      </c>
      <c r="D43" s="4" t="s">
        <v>206</v>
      </c>
      <c r="E43" s="10" t="s">
        <v>198</v>
      </c>
      <c r="F43" s="20">
        <v>1900</v>
      </c>
      <c r="G43" s="252" t="s">
        <v>207</v>
      </c>
      <c r="H43" s="268">
        <v>0.1021</v>
      </c>
      <c r="I43" s="231" t="s">
        <v>144</v>
      </c>
      <c r="J43" s="289" t="s">
        <v>208</v>
      </c>
      <c r="K43" s="267"/>
    </row>
    <row r="44" spans="1:11">
      <c r="A44" s="295"/>
      <c r="B44" s="8">
        <v>34</v>
      </c>
      <c r="C44" s="267"/>
      <c r="D44" s="4" t="s">
        <v>209</v>
      </c>
      <c r="E44" s="10" t="s">
        <v>198</v>
      </c>
      <c r="F44" s="20">
        <v>2600</v>
      </c>
      <c r="G44" s="267"/>
      <c r="H44" s="269"/>
      <c r="I44" s="280"/>
      <c r="J44" s="290"/>
      <c r="K44" s="267"/>
    </row>
    <row r="45" spans="1:11">
      <c r="A45" s="295"/>
      <c r="B45" s="8">
        <v>35</v>
      </c>
      <c r="C45" s="267"/>
      <c r="D45" s="4" t="s">
        <v>210</v>
      </c>
      <c r="E45" s="10" t="s">
        <v>198</v>
      </c>
      <c r="F45" s="20">
        <v>3100</v>
      </c>
      <c r="G45" s="253"/>
      <c r="H45" s="269"/>
      <c r="I45" s="280"/>
      <c r="J45" s="290"/>
      <c r="K45" s="267"/>
    </row>
    <row r="46" spans="1:11">
      <c r="A46" s="295"/>
      <c r="B46" s="8">
        <v>36</v>
      </c>
      <c r="C46" s="267"/>
      <c r="D46" s="4" t="s">
        <v>211</v>
      </c>
      <c r="E46" s="10" t="s">
        <v>198</v>
      </c>
      <c r="F46" s="20">
        <v>3800</v>
      </c>
      <c r="G46" s="252" t="s">
        <v>212</v>
      </c>
      <c r="H46" s="269"/>
      <c r="I46" s="280"/>
      <c r="J46" s="290"/>
      <c r="K46" s="267"/>
    </row>
    <row r="47" spans="1:11">
      <c r="A47" s="295"/>
      <c r="B47" s="8">
        <v>37</v>
      </c>
      <c r="C47" s="267"/>
      <c r="D47" s="4" t="s">
        <v>213</v>
      </c>
      <c r="E47" s="10" t="s">
        <v>198</v>
      </c>
      <c r="F47" s="20">
        <v>4700</v>
      </c>
      <c r="G47" s="267"/>
      <c r="H47" s="269"/>
      <c r="I47" s="280"/>
      <c r="J47" s="290"/>
      <c r="K47" s="267"/>
    </row>
    <row r="48" spans="1:11">
      <c r="A48" s="295"/>
      <c r="B48" s="8">
        <v>38</v>
      </c>
      <c r="C48" s="267"/>
      <c r="D48" s="4" t="s">
        <v>214</v>
      </c>
      <c r="E48" s="10" t="s">
        <v>198</v>
      </c>
      <c r="F48" s="20">
        <v>5200</v>
      </c>
      <c r="G48" s="253"/>
      <c r="H48" s="269"/>
      <c r="I48" s="280"/>
      <c r="J48" s="290"/>
      <c r="K48" s="267"/>
    </row>
    <row r="49" spans="1:11">
      <c r="A49" s="295"/>
      <c r="B49" s="8">
        <v>39</v>
      </c>
      <c r="C49" s="253"/>
      <c r="D49" s="4" t="s">
        <v>215</v>
      </c>
      <c r="E49" s="10" t="s">
        <v>198</v>
      </c>
      <c r="F49" s="20">
        <v>4700</v>
      </c>
      <c r="G49" s="4" t="s">
        <v>216</v>
      </c>
      <c r="H49" s="270"/>
      <c r="I49" s="232"/>
      <c r="J49" s="291"/>
      <c r="K49" s="267"/>
    </row>
    <row r="50" spans="1:11">
      <c r="A50" s="295"/>
      <c r="B50" s="8">
        <v>40</v>
      </c>
      <c r="C50" s="260" t="s">
        <v>217</v>
      </c>
      <c r="D50" s="4" t="s">
        <v>218</v>
      </c>
      <c r="E50" s="7" t="s">
        <v>159</v>
      </c>
      <c r="F50" s="20">
        <v>1600</v>
      </c>
      <c r="G50" s="9"/>
      <c r="H50" s="5" t="s">
        <v>149</v>
      </c>
      <c r="I50" s="5" t="s">
        <v>144</v>
      </c>
      <c r="J50" s="260" t="s">
        <v>219</v>
      </c>
      <c r="K50" s="267"/>
    </row>
    <row r="51" spans="1:11">
      <c r="A51" s="295"/>
      <c r="B51" s="8">
        <v>41</v>
      </c>
      <c r="C51" s="261"/>
      <c r="D51" s="4" t="s">
        <v>151</v>
      </c>
      <c r="E51" s="10" t="s">
        <v>198</v>
      </c>
      <c r="F51" s="23">
        <v>210</v>
      </c>
      <c r="G51" s="4" t="s">
        <v>220</v>
      </c>
      <c r="H51" s="5" t="s">
        <v>149</v>
      </c>
      <c r="I51" s="5" t="s">
        <v>144</v>
      </c>
      <c r="J51" s="261"/>
      <c r="K51" s="267"/>
    </row>
    <row r="52" spans="1:11" ht="81">
      <c r="A52" s="295"/>
      <c r="B52" s="15">
        <v>42</v>
      </c>
      <c r="C52" s="276" t="s">
        <v>221</v>
      </c>
      <c r="D52" s="277"/>
      <c r="E52" s="14" t="s">
        <v>198</v>
      </c>
      <c r="F52" s="21" t="s">
        <v>184</v>
      </c>
      <c r="G52" s="4" t="s">
        <v>222</v>
      </c>
      <c r="H52" s="13">
        <v>0.1021</v>
      </c>
      <c r="I52" s="12" t="s">
        <v>144</v>
      </c>
      <c r="J52" s="11" t="s">
        <v>153</v>
      </c>
      <c r="K52" s="267"/>
    </row>
    <row r="53" spans="1:11" ht="18">
      <c r="A53" s="295"/>
      <c r="B53" s="8">
        <v>43</v>
      </c>
      <c r="C53" s="260" t="s">
        <v>223</v>
      </c>
      <c r="D53" s="4" t="s">
        <v>224</v>
      </c>
      <c r="E53" s="10" t="s">
        <v>198</v>
      </c>
      <c r="F53" s="20">
        <v>13300</v>
      </c>
      <c r="G53" s="9"/>
      <c r="H53" s="6">
        <v>0.1021</v>
      </c>
      <c r="I53" s="5" t="s">
        <v>144</v>
      </c>
      <c r="J53" s="4" t="s">
        <v>153</v>
      </c>
      <c r="K53" s="267"/>
    </row>
    <row r="54" spans="1:11" ht="18">
      <c r="A54" s="296"/>
      <c r="B54" s="8">
        <v>44</v>
      </c>
      <c r="C54" s="261"/>
      <c r="D54" s="4" t="s">
        <v>225</v>
      </c>
      <c r="E54" s="10" t="s">
        <v>198</v>
      </c>
      <c r="F54" s="23">
        <v>240</v>
      </c>
      <c r="G54" s="4" t="s">
        <v>226</v>
      </c>
      <c r="H54" s="5" t="s">
        <v>149</v>
      </c>
      <c r="I54" s="5" t="s">
        <v>144</v>
      </c>
      <c r="J54" s="4" t="s">
        <v>219</v>
      </c>
      <c r="K54" s="253"/>
    </row>
    <row r="55" spans="1:11">
      <c r="A55" s="309" t="s">
        <v>227</v>
      </c>
      <c r="B55" s="310"/>
      <c r="C55" s="310"/>
      <c r="D55" s="310"/>
      <c r="E55" s="310"/>
      <c r="F55" s="310"/>
      <c r="G55" s="310"/>
      <c r="H55" s="310"/>
      <c r="I55" s="310"/>
      <c r="J55" s="310"/>
      <c r="K55" s="311"/>
    </row>
    <row r="56" spans="1:11">
      <c r="A56" s="312"/>
      <c r="B56" s="8">
        <v>45</v>
      </c>
      <c r="C56" s="252" t="s">
        <v>228</v>
      </c>
      <c r="D56" s="4" t="s">
        <v>229</v>
      </c>
      <c r="E56" s="7" t="s">
        <v>159</v>
      </c>
      <c r="F56" s="20">
        <v>5800</v>
      </c>
      <c r="G56" s="9"/>
      <c r="H56" s="252" t="s">
        <v>169</v>
      </c>
      <c r="I56" s="231" t="s">
        <v>139</v>
      </c>
      <c r="J56" s="289" t="s">
        <v>230</v>
      </c>
      <c r="K56" s="252" t="s">
        <v>231</v>
      </c>
    </row>
    <row r="57" spans="1:11">
      <c r="A57" s="312"/>
      <c r="B57" s="8">
        <v>46</v>
      </c>
      <c r="C57" s="267"/>
      <c r="D57" s="4" t="s">
        <v>232</v>
      </c>
      <c r="E57" s="7" t="s">
        <v>159</v>
      </c>
      <c r="F57" s="20">
        <v>4200</v>
      </c>
      <c r="G57" s="9"/>
      <c r="H57" s="267"/>
      <c r="I57" s="280"/>
      <c r="J57" s="290"/>
      <c r="K57" s="267"/>
    </row>
    <row r="58" spans="1:11">
      <c r="A58" s="312"/>
      <c r="B58" s="8">
        <v>47</v>
      </c>
      <c r="C58" s="267"/>
      <c r="D58" s="4" t="s">
        <v>233</v>
      </c>
      <c r="E58" s="7" t="s">
        <v>159</v>
      </c>
      <c r="F58" s="20">
        <v>4200</v>
      </c>
      <c r="G58" s="9"/>
      <c r="H58" s="267"/>
      <c r="I58" s="280"/>
      <c r="J58" s="290"/>
      <c r="K58" s="267"/>
    </row>
    <row r="59" spans="1:11">
      <c r="A59" s="312"/>
      <c r="B59" s="8">
        <v>48</v>
      </c>
      <c r="C59" s="253"/>
      <c r="D59" s="4" t="s">
        <v>234</v>
      </c>
      <c r="E59" s="7" t="s">
        <v>159</v>
      </c>
      <c r="F59" s="20">
        <v>2500</v>
      </c>
      <c r="G59" s="9"/>
      <c r="H59" s="253"/>
      <c r="I59" s="232"/>
      <c r="J59" s="291"/>
      <c r="K59" s="267"/>
    </row>
    <row r="60" spans="1:11">
      <c r="A60" s="312"/>
      <c r="B60" s="8">
        <v>49</v>
      </c>
      <c r="C60" s="260" t="s">
        <v>235</v>
      </c>
      <c r="D60" s="4" t="s">
        <v>236</v>
      </c>
      <c r="E60" s="7" t="s">
        <v>159</v>
      </c>
      <c r="F60" s="20">
        <v>1600</v>
      </c>
      <c r="G60" s="237"/>
      <c r="H60" s="260" t="s">
        <v>169</v>
      </c>
      <c r="I60" s="264" t="s">
        <v>139</v>
      </c>
      <c r="J60" s="237" t="s">
        <v>230</v>
      </c>
      <c r="K60" s="267"/>
    </row>
    <row r="61" spans="1:11">
      <c r="A61" s="312"/>
      <c r="B61" s="8">
        <v>50</v>
      </c>
      <c r="C61" s="261"/>
      <c r="D61" s="4" t="s">
        <v>151</v>
      </c>
      <c r="E61" s="7" t="s">
        <v>159</v>
      </c>
      <c r="F61" s="23">
        <v>990</v>
      </c>
      <c r="G61" s="238"/>
      <c r="H61" s="261"/>
      <c r="I61" s="265"/>
      <c r="J61" s="238"/>
      <c r="K61" s="267"/>
    </row>
    <row r="62" spans="1:11">
      <c r="A62" s="312"/>
      <c r="B62" s="8">
        <v>51</v>
      </c>
      <c r="C62" s="239" t="s">
        <v>237</v>
      </c>
      <c r="D62" s="240"/>
      <c r="E62" s="10" t="s">
        <v>238</v>
      </c>
      <c r="F62" s="20">
        <v>20400</v>
      </c>
      <c r="G62" s="9"/>
      <c r="H62" s="5" t="s">
        <v>149</v>
      </c>
      <c r="I62" s="5" t="s">
        <v>144</v>
      </c>
      <c r="J62" s="9"/>
      <c r="K62" s="267"/>
    </row>
    <row r="63" spans="1:11">
      <c r="A63" s="312"/>
      <c r="B63" s="8">
        <v>52</v>
      </c>
      <c r="C63" s="239" t="s">
        <v>239</v>
      </c>
      <c r="D63" s="240"/>
      <c r="E63" s="10" t="s">
        <v>238</v>
      </c>
      <c r="F63" s="20">
        <v>20000</v>
      </c>
      <c r="G63" s="9"/>
      <c r="H63" s="5" t="s">
        <v>149</v>
      </c>
      <c r="I63" s="5" t="s">
        <v>139</v>
      </c>
      <c r="J63" s="4" t="s">
        <v>182</v>
      </c>
      <c r="K63" s="253"/>
    </row>
    <row r="64" spans="1:11" ht="18">
      <c r="A64" s="313"/>
      <c r="B64" s="8">
        <v>53</v>
      </c>
      <c r="C64" s="239" t="s">
        <v>240</v>
      </c>
      <c r="D64" s="240"/>
      <c r="E64" s="7" t="s">
        <v>159</v>
      </c>
      <c r="F64" s="20">
        <v>10200</v>
      </c>
      <c r="G64" s="4" t="s">
        <v>241</v>
      </c>
      <c r="H64" s="6">
        <v>0.1021</v>
      </c>
      <c r="I64" s="5" t="s">
        <v>144</v>
      </c>
      <c r="J64" s="4" t="s">
        <v>153</v>
      </c>
      <c r="K64" s="4" t="s">
        <v>242</v>
      </c>
    </row>
    <row r="65" spans="1:11" ht="23.25" customHeight="1">
      <c r="A65" s="297" t="s">
        <v>243</v>
      </c>
      <c r="B65" s="298"/>
      <c r="C65" s="298"/>
      <c r="D65" s="298"/>
      <c r="E65" s="298"/>
      <c r="F65" s="298"/>
      <c r="G65" s="298"/>
      <c r="H65" s="298"/>
      <c r="I65" s="298"/>
      <c r="J65" s="298"/>
      <c r="K65" s="299"/>
    </row>
    <row r="66" spans="1:11">
      <c r="A66" s="300" t="s">
        <v>244</v>
      </c>
      <c r="B66" s="301"/>
      <c r="C66" s="301"/>
      <c r="D66" s="301"/>
      <c r="E66" s="301"/>
      <c r="F66" s="301"/>
      <c r="G66" s="301"/>
      <c r="H66" s="301"/>
      <c r="I66" s="301"/>
      <c r="J66" s="301"/>
      <c r="K66" s="302"/>
    </row>
    <row r="67" spans="1:11">
      <c r="A67" s="300" t="s">
        <v>245</v>
      </c>
      <c r="B67" s="301"/>
      <c r="C67" s="301"/>
      <c r="D67" s="301"/>
      <c r="E67" s="301"/>
      <c r="F67" s="301"/>
      <c r="G67" s="301"/>
      <c r="H67" s="301"/>
      <c r="I67" s="301"/>
      <c r="J67" s="301"/>
      <c r="K67" s="302"/>
    </row>
    <row r="68" spans="1:11">
      <c r="A68" s="300" t="s">
        <v>246</v>
      </c>
      <c r="B68" s="301"/>
      <c r="C68" s="301"/>
      <c r="D68" s="301"/>
      <c r="E68" s="301"/>
      <c r="F68" s="301"/>
      <c r="G68" s="301"/>
      <c r="H68" s="301"/>
      <c r="I68" s="301"/>
      <c r="J68" s="301"/>
      <c r="K68" s="302"/>
    </row>
    <row r="69" spans="1:11" ht="42.75" customHeight="1">
      <c r="A69" s="303" t="s">
        <v>247</v>
      </c>
      <c r="B69" s="304"/>
      <c r="C69" s="304"/>
      <c r="D69" s="304"/>
      <c r="E69" s="304"/>
      <c r="F69" s="304"/>
      <c r="G69" s="304"/>
      <c r="H69" s="304"/>
      <c r="I69" s="304"/>
      <c r="J69" s="304"/>
      <c r="K69" s="305"/>
    </row>
    <row r="70" spans="1:11">
      <c r="A70" s="306" t="s">
        <v>248</v>
      </c>
      <c r="B70" s="307"/>
      <c r="C70" s="307"/>
      <c r="D70" s="307"/>
      <c r="E70" s="307"/>
      <c r="F70" s="307"/>
      <c r="G70" s="307"/>
      <c r="H70" s="307"/>
      <c r="I70" s="307"/>
      <c r="J70" s="307"/>
      <c r="K70" s="308"/>
    </row>
  </sheetData>
  <mergeCells count="104">
    <mergeCell ref="C52:D52"/>
    <mergeCell ref="C53:C54"/>
    <mergeCell ref="A65:K65"/>
    <mergeCell ref="A66:K66"/>
    <mergeCell ref="A67:K67"/>
    <mergeCell ref="A68:K68"/>
    <mergeCell ref="A69:K69"/>
    <mergeCell ref="A70:K70"/>
    <mergeCell ref="I60:I61"/>
    <mergeCell ref="J60:J61"/>
    <mergeCell ref="C62:D62"/>
    <mergeCell ref="C63:D63"/>
    <mergeCell ref="C64:D64"/>
    <mergeCell ref="A55:K55"/>
    <mergeCell ref="A56:A64"/>
    <mergeCell ref="C56:C59"/>
    <mergeCell ref="H56:H59"/>
    <mergeCell ref="I56:I59"/>
    <mergeCell ref="J56:J59"/>
    <mergeCell ref="K56:K63"/>
    <mergeCell ref="C60:C61"/>
    <mergeCell ref="G60:G61"/>
    <mergeCell ref="H60:H61"/>
    <mergeCell ref="A33:K33"/>
    <mergeCell ref="A34:A36"/>
    <mergeCell ref="C34:C35"/>
    <mergeCell ref="G34:G35"/>
    <mergeCell ref="J34:J35"/>
    <mergeCell ref="K34:K36"/>
    <mergeCell ref="J38:J42"/>
    <mergeCell ref="K38:K54"/>
    <mergeCell ref="D40:D41"/>
    <mergeCell ref="C43:C49"/>
    <mergeCell ref="G43:G45"/>
    <mergeCell ref="H43:H49"/>
    <mergeCell ref="I43:I49"/>
    <mergeCell ref="J43:J49"/>
    <mergeCell ref="G46:G48"/>
    <mergeCell ref="C50:C51"/>
    <mergeCell ref="C36:D36"/>
    <mergeCell ref="A37:K37"/>
    <mergeCell ref="A38:A54"/>
    <mergeCell ref="C38:C42"/>
    <mergeCell ref="D38:D39"/>
    <mergeCell ref="H38:H42"/>
    <mergeCell ref="I38:I42"/>
    <mergeCell ref="J50:J51"/>
    <mergeCell ref="A31:B32"/>
    <mergeCell ref="C31:D32"/>
    <mergeCell ref="E31:E32"/>
    <mergeCell ref="F31:F32"/>
    <mergeCell ref="A6:K6"/>
    <mergeCell ref="A7:A30"/>
    <mergeCell ref="C7:D7"/>
    <mergeCell ref="K7:K30"/>
    <mergeCell ref="C8:C10"/>
    <mergeCell ref="G31:G32"/>
    <mergeCell ref="H31:I31"/>
    <mergeCell ref="J31:J32"/>
    <mergeCell ref="C22:D22"/>
    <mergeCell ref="C23:D23"/>
    <mergeCell ref="C24:C25"/>
    <mergeCell ref="G24:G25"/>
    <mergeCell ref="H24:H25"/>
    <mergeCell ref="I24:I25"/>
    <mergeCell ref="J24:J25"/>
    <mergeCell ref="G11:G14"/>
    <mergeCell ref="K31:K32"/>
    <mergeCell ref="I11:I14"/>
    <mergeCell ref="J11:J14"/>
    <mergeCell ref="C26:C27"/>
    <mergeCell ref="G26:G27"/>
    <mergeCell ref="H26:H27"/>
    <mergeCell ref="I26:I27"/>
    <mergeCell ref="J26:J27"/>
    <mergeCell ref="J4:J5"/>
    <mergeCell ref="C29:C30"/>
    <mergeCell ref="H29:H30"/>
    <mergeCell ref="I29:I30"/>
    <mergeCell ref="J29:J30"/>
    <mergeCell ref="K4:K5"/>
    <mergeCell ref="C19:D20"/>
    <mergeCell ref="J19:J20"/>
    <mergeCell ref="C21:D21"/>
    <mergeCell ref="A3:K3"/>
    <mergeCell ref="A4:B5"/>
    <mergeCell ref="C4:D5"/>
    <mergeCell ref="E4:E5"/>
    <mergeCell ref="F4:F5"/>
    <mergeCell ref="G4:G5"/>
    <mergeCell ref="H4:I4"/>
    <mergeCell ref="C15:C16"/>
    <mergeCell ref="G15:G16"/>
    <mergeCell ref="H15:H16"/>
    <mergeCell ref="I15:I16"/>
    <mergeCell ref="J15:J16"/>
    <mergeCell ref="C17:C18"/>
    <mergeCell ref="G17:G18"/>
    <mergeCell ref="H17:H18"/>
    <mergeCell ref="I17:I18"/>
    <mergeCell ref="J17:J18"/>
    <mergeCell ref="J8:J10"/>
    <mergeCell ref="C11:C14"/>
    <mergeCell ref="H11:H14"/>
  </mergeCells>
  <phoneticPr fontId="14"/>
  <hyperlinks>
    <hyperlink ref="E1" r:id="rId1" xr:uid="{73EFE861-2163-4D30-93B7-B9D77737BDE3}"/>
    <hyperlink ref="A69" r:id="rId2" display="http://www.nta.go.jp/taxes/shiraberu/taxanswer/gensen/2878.htm" xr:uid="{00000000-0004-0000-00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C9C3C-AD25-4E1B-A8FA-B6F36DAAEDE7}">
  <sheetPr codeName="Sheet9">
    <tabColor theme="1"/>
  </sheetPr>
  <dimension ref="A1:AH26"/>
  <sheetViews>
    <sheetView topLeftCell="R1" workbookViewId="0">
      <selection activeCell="X2" sqref="X2"/>
    </sheetView>
  </sheetViews>
  <sheetFormatPr defaultRowHeight="13.5"/>
  <cols>
    <col min="18" max="18" width="17.75" bestFit="1" customWidth="1"/>
    <col min="19" max="19" width="18.875" bestFit="1" customWidth="1"/>
    <col min="20" max="21" width="9.25" customWidth="1"/>
  </cols>
  <sheetData>
    <row r="1" spans="1:34" s="56" customFormat="1">
      <c r="A1" s="46" t="s">
        <v>249</v>
      </c>
      <c r="B1" s="48" t="s">
        <v>250</v>
      </c>
      <c r="C1" s="48" t="s">
        <v>251</v>
      </c>
      <c r="D1" s="49" t="s">
        <v>252</v>
      </c>
      <c r="E1" s="48" t="s">
        <v>253</v>
      </c>
      <c r="F1" s="47" t="s">
        <v>254</v>
      </c>
      <c r="G1" s="50" t="s">
        <v>255</v>
      </c>
      <c r="H1" s="47" t="s">
        <v>256</v>
      </c>
      <c r="I1" s="47" t="s">
        <v>257</v>
      </c>
      <c r="J1" s="47" t="s">
        <v>258</v>
      </c>
      <c r="K1" s="47" t="s">
        <v>259</v>
      </c>
      <c r="L1" s="51" t="s">
        <v>260</v>
      </c>
      <c r="M1" s="51" t="s">
        <v>261</v>
      </c>
      <c r="N1" s="51" t="s">
        <v>262</v>
      </c>
      <c r="O1" s="51" t="s">
        <v>263</v>
      </c>
      <c r="P1" s="52" t="s">
        <v>264</v>
      </c>
      <c r="Q1" s="51" t="s">
        <v>265</v>
      </c>
      <c r="R1" s="66" t="s">
        <v>266</v>
      </c>
      <c r="S1" s="66" t="s">
        <v>267</v>
      </c>
      <c r="T1" s="66" t="s">
        <v>268</v>
      </c>
      <c r="U1" s="66" t="s">
        <v>269</v>
      </c>
      <c r="V1" s="53" t="s">
        <v>270</v>
      </c>
      <c r="W1" s="53" t="s">
        <v>271</v>
      </c>
      <c r="X1" s="53" t="s">
        <v>272</v>
      </c>
      <c r="Y1" s="53" t="s">
        <v>273</v>
      </c>
      <c r="Z1" s="53" t="s">
        <v>274</v>
      </c>
      <c r="AA1" s="53" t="s">
        <v>275</v>
      </c>
      <c r="AB1" s="53" t="s">
        <v>276</v>
      </c>
      <c r="AC1" s="53" t="s">
        <v>277</v>
      </c>
      <c r="AD1" s="54" t="s">
        <v>278</v>
      </c>
      <c r="AE1" s="54" t="s">
        <v>279</v>
      </c>
      <c r="AF1" s="55" t="s">
        <v>280</v>
      </c>
      <c r="AG1" s="55" t="s">
        <v>281</v>
      </c>
      <c r="AH1" s="55" t="s">
        <v>282</v>
      </c>
    </row>
    <row r="2" spans="1:34">
      <c r="F2">
        <f>謝金・旅費実施伺!AB41</f>
        <v>0</v>
      </c>
      <c r="G2">
        <f>謝金・旅費実施伺!O42</f>
        <v>0</v>
      </c>
      <c r="H2">
        <f>謝金・旅費実施伺!O43</f>
        <v>0</v>
      </c>
      <c r="J2" t="str">
        <f>IF(謝金・旅費実施伺!K18="","",謝金・旅費実施伺!K18)</f>
        <v/>
      </c>
      <c r="K2" t="str">
        <f>IF(謝金・旅費実施伺!Q18="","",謝金・旅費実施伺!Q18)</f>
        <v/>
      </c>
      <c r="P2" t="s">
        <v>283</v>
      </c>
      <c r="Q2" t="str">
        <f>謝金・旅費実施伺!Q34&amp;CHAR(10)&amp;謝金・旅費実施伺!Q35</f>
        <v xml:space="preserve">
</v>
      </c>
      <c r="R2" s="67">
        <f>謝金・旅費実施伺!J10</f>
        <v>0</v>
      </c>
      <c r="S2" s="67">
        <f>謝金・旅費実施伺!V10</f>
        <v>46418</v>
      </c>
      <c r="T2" s="68">
        <f>謝金・旅費実施伺!J11</f>
        <v>0.33333333333333331</v>
      </c>
      <c r="U2" s="68">
        <f>謝金・旅費実施伺!V11</f>
        <v>0.5</v>
      </c>
      <c r="V2">
        <f>謝金・旅費実施伺!AF10</f>
        <v>46419</v>
      </c>
      <c r="W2">
        <f>謝金・旅費実施伺!G39</f>
        <v>0</v>
      </c>
      <c r="X2" t="str">
        <f>IF(謝金・旅費実施伺!AM13=1,"筑波大学",謝金・旅費実施伺!T13)</f>
        <v>筑波大学</v>
      </c>
      <c r="Y2" t="str">
        <f>IF(謝金・旅費実施伺!AM13=1,"茨城県つくば市天王台1-1-1",謝金・旅費実施伺!T14)</f>
        <v>茨城県つくば市天王台1-1-1</v>
      </c>
      <c r="Z2" t="str">
        <f>VLOOKUP(謝金・旅費実施伺!$AM$22,$Z$9:$AA$26,2,0)</f>
        <v>被験者</v>
      </c>
      <c r="AA2" t="str">
        <f>IF(謝金・旅費実施伺!AM30=1,"有","無")</f>
        <v>無</v>
      </c>
      <c r="AB2" t="str">
        <f>謝金・旅費実施伺!G4</f>
        <v>「〇〇の研究」に係る実験を実施する</v>
      </c>
      <c r="AE2" t="str">
        <f>IF(謝金・旅費実施伺!AM21=1,"有","無")</f>
        <v>有</v>
      </c>
    </row>
    <row r="8" spans="1:34">
      <c r="Z8" s="314" t="s">
        <v>284</v>
      </c>
      <c r="AA8" s="315"/>
      <c r="AB8" s="316"/>
    </row>
    <row r="9" spans="1:34">
      <c r="Z9" s="65">
        <v>1</v>
      </c>
      <c r="AA9" s="65" t="s">
        <v>285</v>
      </c>
      <c r="AB9" s="65"/>
    </row>
    <row r="10" spans="1:34">
      <c r="Z10" s="65">
        <v>2</v>
      </c>
      <c r="AA10" s="65" t="s">
        <v>286</v>
      </c>
      <c r="AB10" s="65"/>
    </row>
    <row r="11" spans="1:34">
      <c r="Z11" s="65">
        <v>3</v>
      </c>
      <c r="AA11" s="65" t="s">
        <v>287</v>
      </c>
      <c r="AB11" s="65"/>
    </row>
    <row r="12" spans="1:34">
      <c r="Z12" s="65">
        <v>4</v>
      </c>
      <c r="AA12" s="65" t="s">
        <v>288</v>
      </c>
      <c r="AB12" s="65"/>
    </row>
    <row r="13" spans="1:34">
      <c r="Z13" s="65">
        <v>5</v>
      </c>
      <c r="AA13" s="65" t="s">
        <v>289</v>
      </c>
      <c r="AB13" s="65"/>
    </row>
    <row r="14" spans="1:34">
      <c r="Z14" s="65">
        <v>6</v>
      </c>
      <c r="AA14" s="65" t="s">
        <v>290</v>
      </c>
      <c r="AB14" s="65"/>
    </row>
    <row r="15" spans="1:34">
      <c r="Z15" s="65">
        <v>7</v>
      </c>
      <c r="AA15" s="65" t="s">
        <v>291</v>
      </c>
      <c r="AB15" s="65"/>
    </row>
    <row r="16" spans="1:34">
      <c r="Z16" s="65">
        <v>8</v>
      </c>
      <c r="AA16" s="65" t="s">
        <v>292</v>
      </c>
      <c r="AB16" s="65"/>
    </row>
    <row r="17" spans="26:28">
      <c r="Z17" s="65">
        <v>9</v>
      </c>
      <c r="AA17" s="65">
        <f>謝金・旅費実施伺!R23</f>
        <v>0</v>
      </c>
      <c r="AB17" s="65" t="s">
        <v>293</v>
      </c>
    </row>
    <row r="18" spans="26:28">
      <c r="Z18" s="65">
        <v>10</v>
      </c>
      <c r="AA18" s="65" t="s">
        <v>294</v>
      </c>
      <c r="AB18" s="65"/>
    </row>
    <row r="19" spans="26:28">
      <c r="Z19" s="65">
        <v>11</v>
      </c>
      <c r="AA19" s="65" t="s">
        <v>295</v>
      </c>
      <c r="AB19" s="65"/>
    </row>
    <row r="20" spans="26:28">
      <c r="Z20" s="65">
        <v>12</v>
      </c>
      <c r="AA20" s="65" t="s">
        <v>296</v>
      </c>
      <c r="AB20" s="65"/>
    </row>
    <row r="21" spans="26:28">
      <c r="Z21" s="65">
        <v>13</v>
      </c>
      <c r="AA21" s="65" t="s">
        <v>297</v>
      </c>
      <c r="AB21" s="65"/>
    </row>
    <row r="22" spans="26:28">
      <c r="Z22" s="65">
        <v>14</v>
      </c>
      <c r="AA22" s="65" t="s">
        <v>298</v>
      </c>
      <c r="AB22" s="65"/>
    </row>
    <row r="23" spans="26:28">
      <c r="Z23" s="65">
        <v>15</v>
      </c>
      <c r="AA23" s="65" t="s">
        <v>299</v>
      </c>
      <c r="AB23" s="65"/>
    </row>
    <row r="24" spans="26:28">
      <c r="Z24" s="65">
        <v>16</v>
      </c>
      <c r="AA24" s="65" t="s">
        <v>300</v>
      </c>
      <c r="AB24" s="65"/>
    </row>
    <row r="25" spans="26:28">
      <c r="Z25" s="65">
        <v>17</v>
      </c>
      <c r="AA25" s="65">
        <f>謝金・旅費実施伺!W25</f>
        <v>0</v>
      </c>
      <c r="AB25" s="65" t="s">
        <v>301</v>
      </c>
    </row>
    <row r="26" spans="26:28">
      <c r="Z26" s="65">
        <v>0</v>
      </c>
      <c r="AA26" s="65" t="s">
        <v>302</v>
      </c>
      <c r="AB26" s="65"/>
    </row>
  </sheetData>
  <mergeCells count="1">
    <mergeCell ref="Z8:AB8"/>
  </mergeCells>
  <phoneticPr fontId="14"/>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BBFB6-C548-44BE-93C8-B86A78A0C598}">
  <sheetPr codeName="Sheet5">
    <tabColor theme="4" tint="-0.249977111117893"/>
  </sheetPr>
  <dimension ref="A1:AZ42"/>
  <sheetViews>
    <sheetView view="pageBreakPreview" zoomScale="85" zoomScaleNormal="100" zoomScaleSheetLayoutView="85" workbookViewId="0">
      <selection activeCell="G3" sqref="G3:AL4"/>
    </sheetView>
  </sheetViews>
  <sheetFormatPr defaultColWidth="2.625" defaultRowHeight="18.75" customHeight="1"/>
  <cols>
    <col min="1" max="1" width="2.5" style="25" customWidth="1"/>
    <col min="2" max="6" width="2.625" style="25"/>
    <col min="7" max="7" width="2.625" style="25" customWidth="1"/>
    <col min="8" max="32" width="2.625" style="25"/>
    <col min="33" max="33" width="2.75" style="25" customWidth="1"/>
    <col min="34" max="37" width="2.625" style="25"/>
    <col min="38" max="38" width="3.5" style="25" customWidth="1"/>
    <col min="39" max="39" width="3.125" style="1" hidden="1" customWidth="1"/>
    <col min="40" max="40" width="3" style="1" hidden="1" customWidth="1"/>
    <col min="41" max="16384" width="2.625" style="1"/>
  </cols>
  <sheetData>
    <row r="1" spans="1:39" ht="27" customHeight="1" thickBot="1">
      <c r="A1" s="135" t="s">
        <v>0</v>
      </c>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row>
    <row r="2" spans="1:39" ht="23.25" customHeight="1" thickTop="1">
      <c r="B2" s="25" t="s">
        <v>1</v>
      </c>
    </row>
    <row r="3" spans="1:39" ht="28.5" customHeight="1">
      <c r="A3" s="136" t="s">
        <v>3</v>
      </c>
      <c r="B3" s="137"/>
      <c r="C3" s="137"/>
      <c r="D3" s="137"/>
      <c r="E3" s="137"/>
      <c r="F3" s="138"/>
      <c r="G3" s="353" t="s">
        <v>325</v>
      </c>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5"/>
    </row>
    <row r="4" spans="1:39" ht="28.5" customHeight="1">
      <c r="A4" s="139"/>
      <c r="B4" s="140"/>
      <c r="C4" s="140"/>
      <c r="D4" s="140"/>
      <c r="E4" s="140"/>
      <c r="F4" s="141"/>
      <c r="G4" s="356"/>
      <c r="H4" s="357"/>
      <c r="I4" s="357"/>
      <c r="J4" s="357"/>
      <c r="K4" s="357"/>
      <c r="L4" s="357"/>
      <c r="M4" s="357"/>
      <c r="N4" s="357"/>
      <c r="O4" s="357"/>
      <c r="P4" s="357"/>
      <c r="Q4" s="357"/>
      <c r="R4" s="357"/>
      <c r="S4" s="357"/>
      <c r="T4" s="357"/>
      <c r="U4" s="357"/>
      <c r="V4" s="357"/>
      <c r="W4" s="357"/>
      <c r="X4" s="357"/>
      <c r="Y4" s="357"/>
      <c r="Z4" s="357"/>
      <c r="AA4" s="357"/>
      <c r="AB4" s="357"/>
      <c r="AC4" s="357"/>
      <c r="AD4" s="357"/>
      <c r="AE4" s="357"/>
      <c r="AF4" s="357"/>
      <c r="AG4" s="357"/>
      <c r="AH4" s="357"/>
      <c r="AI4" s="357"/>
      <c r="AJ4" s="357"/>
      <c r="AK4" s="357"/>
      <c r="AL4" s="358"/>
    </row>
    <row r="5" spans="1:39" ht="16.5" customHeight="1">
      <c r="A5" s="139"/>
      <c r="B5" s="140"/>
      <c r="C5" s="140"/>
      <c r="D5" s="140"/>
      <c r="E5" s="140"/>
      <c r="F5" s="141"/>
      <c r="G5" s="69"/>
      <c r="H5" s="87" t="s">
        <v>6</v>
      </c>
      <c r="I5" s="87"/>
      <c r="J5" s="87"/>
      <c r="K5" s="87"/>
      <c r="L5" s="87"/>
      <c r="N5" s="70"/>
      <c r="O5" s="88" t="s">
        <v>7</v>
      </c>
      <c r="P5" s="88"/>
      <c r="Q5" s="88"/>
      <c r="R5" s="88"/>
      <c r="S5" s="88"/>
      <c r="U5" s="70"/>
      <c r="V5" s="88" t="s">
        <v>8</v>
      </c>
      <c r="W5" s="88"/>
      <c r="X5" s="88"/>
      <c r="Y5" s="88"/>
      <c r="Z5" s="88"/>
      <c r="AB5" s="71" t="s">
        <v>9</v>
      </c>
      <c r="AL5" s="30"/>
      <c r="AM5" s="1">
        <v>3</v>
      </c>
    </row>
    <row r="6" spans="1:39" ht="34.5" customHeight="1">
      <c r="A6" s="154" t="s">
        <v>10</v>
      </c>
      <c r="B6" s="136" t="s">
        <v>11</v>
      </c>
      <c r="C6" s="137"/>
      <c r="D6" s="137"/>
      <c r="E6" s="137"/>
      <c r="F6" s="138"/>
      <c r="G6" s="353" t="s">
        <v>315</v>
      </c>
      <c r="H6" s="354"/>
      <c r="I6" s="354"/>
      <c r="J6" s="354"/>
      <c r="K6" s="354"/>
      <c r="L6" s="354"/>
      <c r="M6" s="354"/>
      <c r="N6" s="354"/>
      <c r="O6" s="354"/>
      <c r="P6" s="354"/>
      <c r="Q6" s="354"/>
      <c r="R6" s="354"/>
      <c r="S6" s="354"/>
      <c r="T6" s="354"/>
      <c r="U6" s="103" t="s">
        <v>12</v>
      </c>
      <c r="V6" s="103"/>
      <c r="W6" s="103"/>
      <c r="X6" s="103"/>
      <c r="Y6" s="362" t="s">
        <v>315</v>
      </c>
      <c r="Z6" s="362"/>
      <c r="AA6" s="362"/>
      <c r="AB6" s="362"/>
      <c r="AC6" s="362"/>
      <c r="AD6" s="362"/>
      <c r="AE6" s="362"/>
      <c r="AF6" s="362"/>
      <c r="AG6" s="362"/>
      <c r="AH6" s="362"/>
      <c r="AI6" s="362"/>
      <c r="AJ6" s="362"/>
      <c r="AK6" s="362"/>
      <c r="AL6" s="363"/>
    </row>
    <row r="7" spans="1:39" ht="17.25" customHeight="1">
      <c r="A7" s="154"/>
      <c r="B7" s="89" t="s">
        <v>13</v>
      </c>
      <c r="C7" s="91" t="s">
        <v>14</v>
      </c>
      <c r="D7" s="92"/>
      <c r="E7" s="92"/>
      <c r="F7" s="93"/>
      <c r="G7" s="319" t="s">
        <v>315</v>
      </c>
      <c r="H7" s="320"/>
      <c r="I7" s="320"/>
      <c r="J7" s="320"/>
      <c r="K7" s="320"/>
      <c r="L7" s="320"/>
      <c r="M7" s="320"/>
      <c r="N7" s="320"/>
      <c r="O7" s="320"/>
      <c r="P7" s="320"/>
      <c r="Q7" s="320"/>
      <c r="R7" s="320"/>
      <c r="S7" s="320"/>
      <c r="T7" s="320"/>
      <c r="U7" s="103" t="s">
        <v>15</v>
      </c>
      <c r="V7" s="103"/>
      <c r="W7" s="103"/>
      <c r="X7" s="103"/>
      <c r="Y7" s="340" t="s">
        <v>315</v>
      </c>
      <c r="Z7" s="340"/>
      <c r="AA7" s="340"/>
      <c r="AB7" s="340"/>
      <c r="AC7" s="340"/>
      <c r="AD7" s="340"/>
      <c r="AE7" s="340"/>
      <c r="AF7" s="340"/>
      <c r="AG7" s="340"/>
      <c r="AH7" s="340"/>
      <c r="AI7" s="340"/>
      <c r="AJ7" s="340"/>
      <c r="AK7" s="340"/>
      <c r="AL7" s="341"/>
    </row>
    <row r="8" spans="1:39" ht="18" customHeight="1">
      <c r="A8" s="154"/>
      <c r="B8" s="90"/>
      <c r="C8" s="94" t="s">
        <v>16</v>
      </c>
      <c r="D8" s="95"/>
      <c r="E8" s="95"/>
      <c r="F8" s="96"/>
      <c r="G8" s="359" t="s">
        <v>315</v>
      </c>
      <c r="H8" s="360"/>
      <c r="I8" s="360"/>
      <c r="J8" s="360"/>
      <c r="K8" s="360"/>
      <c r="L8" s="360"/>
      <c r="M8" s="360"/>
      <c r="N8" s="360"/>
      <c r="O8" s="360"/>
      <c r="P8" s="360"/>
      <c r="Q8" s="360"/>
      <c r="R8" s="360"/>
      <c r="S8" s="360"/>
      <c r="T8" s="360"/>
      <c r="U8" s="104"/>
      <c r="V8" s="104"/>
      <c r="W8" s="104"/>
      <c r="X8" s="104"/>
      <c r="Y8" s="342"/>
      <c r="Z8" s="342"/>
      <c r="AA8" s="342"/>
      <c r="AB8" s="342"/>
      <c r="AC8" s="342"/>
      <c r="AD8" s="342"/>
      <c r="AE8" s="342"/>
      <c r="AF8" s="342"/>
      <c r="AG8" s="342"/>
      <c r="AH8" s="342"/>
      <c r="AI8" s="342"/>
      <c r="AJ8" s="342"/>
      <c r="AK8" s="342"/>
      <c r="AL8" s="343"/>
    </row>
    <row r="9" spans="1:39" ht="21" customHeight="1">
      <c r="A9" s="78" t="s">
        <v>17</v>
      </c>
      <c r="B9" s="79"/>
      <c r="C9" s="79"/>
      <c r="D9" s="79"/>
      <c r="E9" s="79"/>
      <c r="F9" s="80"/>
      <c r="G9" s="105" t="s">
        <v>18</v>
      </c>
      <c r="H9" s="106"/>
      <c r="I9" s="107"/>
      <c r="J9" s="347">
        <v>46113</v>
      </c>
      <c r="K9" s="348"/>
      <c r="L9" s="348"/>
      <c r="M9" s="348"/>
      <c r="N9" s="348"/>
      <c r="O9" s="348"/>
      <c r="P9" s="348"/>
      <c r="Q9" s="349"/>
      <c r="R9" s="25" t="s">
        <v>19</v>
      </c>
      <c r="S9" s="105" t="s">
        <v>20</v>
      </c>
      <c r="T9" s="106"/>
      <c r="U9" s="107"/>
      <c r="V9" s="347">
        <v>46326</v>
      </c>
      <c r="W9" s="348"/>
      <c r="X9" s="348"/>
      <c r="Y9" s="348"/>
      <c r="Z9" s="348"/>
      <c r="AA9" s="348"/>
      <c r="AB9" s="348"/>
      <c r="AC9" s="349"/>
      <c r="AE9" s="25" t="s">
        <v>21</v>
      </c>
      <c r="AF9" s="161">
        <f>IF(V9="","",DATEDIF(J9,V9,"d")+1)</f>
        <v>214</v>
      </c>
      <c r="AG9" s="161"/>
      <c r="AH9" s="25" t="s">
        <v>22</v>
      </c>
      <c r="AJ9" s="25" t="s">
        <v>23</v>
      </c>
      <c r="AL9" s="30"/>
    </row>
    <row r="10" spans="1:39" ht="21" customHeight="1">
      <c r="A10" s="155"/>
      <c r="B10" s="156"/>
      <c r="C10" s="156"/>
      <c r="D10" s="156"/>
      <c r="E10" s="156"/>
      <c r="F10" s="157"/>
      <c r="G10" s="105" t="s">
        <v>24</v>
      </c>
      <c r="H10" s="106"/>
      <c r="I10" s="107"/>
      <c r="J10" s="350">
        <v>0.375</v>
      </c>
      <c r="K10" s="351"/>
      <c r="L10" s="351"/>
      <c r="M10" s="351"/>
      <c r="N10" s="351"/>
      <c r="O10" s="351"/>
      <c r="P10" s="351"/>
      <c r="Q10" s="352"/>
      <c r="R10" s="25" t="s">
        <v>25</v>
      </c>
      <c r="S10" s="105" t="s">
        <v>26</v>
      </c>
      <c r="T10" s="106"/>
      <c r="U10" s="107"/>
      <c r="V10" s="350">
        <v>0.70833333333333337</v>
      </c>
      <c r="W10" s="351"/>
      <c r="X10" s="351"/>
      <c r="Y10" s="351"/>
      <c r="Z10" s="351"/>
      <c r="AA10" s="351"/>
      <c r="AB10" s="351"/>
      <c r="AC10" s="352"/>
      <c r="AE10" s="25" t="s">
        <v>21</v>
      </c>
      <c r="AF10" s="161">
        <f>IF(V10="","",24*(V10-J10))</f>
        <v>8</v>
      </c>
      <c r="AG10" s="161"/>
      <c r="AH10" s="25" t="s">
        <v>27</v>
      </c>
      <c r="AJ10" s="25" t="s">
        <v>23</v>
      </c>
      <c r="AL10" s="30"/>
    </row>
    <row r="11" spans="1:39" ht="21" customHeight="1">
      <c r="A11" s="158"/>
      <c r="B11" s="159"/>
      <c r="C11" s="159"/>
      <c r="D11" s="159"/>
      <c r="E11" s="159"/>
      <c r="F11" s="160"/>
      <c r="G11" s="134" t="s">
        <v>28</v>
      </c>
      <c r="H11" s="134"/>
      <c r="I11" s="134"/>
      <c r="J11" s="134"/>
      <c r="K11" s="134"/>
      <c r="L11" s="134"/>
      <c r="M11" s="134"/>
      <c r="N11" s="134"/>
      <c r="O11" s="134"/>
      <c r="P11" s="134"/>
      <c r="Q11" s="134"/>
      <c r="R11" s="134"/>
      <c r="S11" s="361" t="s">
        <v>324</v>
      </c>
      <c r="T11" s="361"/>
      <c r="U11" s="361"/>
      <c r="V11" s="361"/>
      <c r="W11" s="361"/>
      <c r="X11" s="361"/>
      <c r="Y11" s="361"/>
      <c r="Z11" s="361"/>
      <c r="AA11" s="361"/>
      <c r="AB11" s="361"/>
      <c r="AC11" s="361"/>
      <c r="AD11" s="361"/>
      <c r="AE11" s="361"/>
      <c r="AF11" s="361"/>
      <c r="AG11" s="361"/>
      <c r="AH11" s="361"/>
      <c r="AI11" s="361"/>
      <c r="AJ11" s="361"/>
      <c r="AK11" s="361"/>
      <c r="AL11" s="361"/>
    </row>
    <row r="12" spans="1:39" ht="21" customHeight="1">
      <c r="A12" s="78" t="s">
        <v>29</v>
      </c>
      <c r="B12" s="79"/>
      <c r="C12" s="79"/>
      <c r="D12" s="79"/>
      <c r="E12" s="79"/>
      <c r="F12" s="80"/>
      <c r="G12" s="59"/>
      <c r="H12" s="170" t="s">
        <v>30</v>
      </c>
      <c r="I12" s="170"/>
      <c r="J12" s="170"/>
      <c r="K12" s="170"/>
      <c r="L12" s="63"/>
      <c r="M12" s="58"/>
      <c r="N12" s="108" t="s">
        <v>31</v>
      </c>
      <c r="O12" s="108"/>
      <c r="P12" s="63" t="s">
        <v>32</v>
      </c>
      <c r="Q12" s="120" t="s">
        <v>33</v>
      </c>
      <c r="R12" s="120"/>
      <c r="S12" s="120"/>
      <c r="T12" s="121"/>
      <c r="U12" s="122"/>
      <c r="V12" s="122"/>
      <c r="W12" s="122"/>
      <c r="X12" s="122"/>
      <c r="Y12" s="122"/>
      <c r="Z12" s="122"/>
      <c r="AA12" s="122"/>
      <c r="AB12" s="122"/>
      <c r="AC12" s="122"/>
      <c r="AD12" s="122"/>
      <c r="AE12" s="122"/>
      <c r="AF12" s="122"/>
      <c r="AG12" s="122"/>
      <c r="AH12" s="122"/>
      <c r="AI12" s="122"/>
      <c r="AJ12" s="122"/>
      <c r="AK12" s="122"/>
      <c r="AL12" s="122"/>
      <c r="AM12" s="1">
        <v>1</v>
      </c>
    </row>
    <row r="13" spans="1:39" ht="21" customHeight="1">
      <c r="A13" s="81"/>
      <c r="B13" s="82"/>
      <c r="C13" s="82"/>
      <c r="D13" s="82"/>
      <c r="E13" s="82"/>
      <c r="F13" s="83"/>
      <c r="G13" s="64" t="s">
        <v>34</v>
      </c>
      <c r="H13" s="34"/>
      <c r="I13" s="33"/>
      <c r="J13" s="344" t="s">
        <v>316</v>
      </c>
      <c r="K13" s="345"/>
      <c r="L13" s="345"/>
      <c r="M13" s="345"/>
      <c r="N13" s="345"/>
      <c r="O13" s="345"/>
      <c r="P13" s="346"/>
      <c r="Q13" s="119" t="s">
        <v>35</v>
      </c>
      <c r="R13" s="119"/>
      <c r="S13" s="119"/>
      <c r="T13" s="119"/>
      <c r="U13" s="119"/>
      <c r="V13" s="119"/>
      <c r="W13" s="119"/>
      <c r="X13" s="119"/>
      <c r="Y13" s="119"/>
      <c r="Z13" s="119"/>
      <c r="AA13" s="119"/>
      <c r="AB13" s="119"/>
      <c r="AC13" s="119"/>
      <c r="AD13" s="119"/>
      <c r="AE13" s="119"/>
      <c r="AF13" s="119"/>
      <c r="AG13" s="119"/>
      <c r="AH13" s="119"/>
      <c r="AI13" s="119"/>
      <c r="AJ13" s="119"/>
      <c r="AK13" s="119"/>
      <c r="AL13" s="119"/>
    </row>
    <row r="14" spans="1:39" ht="13.5">
      <c r="A14" s="162" t="s">
        <v>36</v>
      </c>
      <c r="B14" s="163"/>
      <c r="C14" s="163"/>
      <c r="D14" s="163"/>
      <c r="E14" s="163"/>
      <c r="F14" s="163"/>
      <c r="G14" s="164" t="s">
        <v>37</v>
      </c>
      <c r="H14" s="165"/>
      <c r="I14" s="165"/>
      <c r="J14" s="166"/>
      <c r="K14" s="164" t="s">
        <v>38</v>
      </c>
      <c r="L14" s="165"/>
      <c r="M14" s="165"/>
      <c r="N14" s="165"/>
      <c r="O14" s="165"/>
      <c r="P14" s="166"/>
      <c r="Q14" s="164" t="s">
        <v>39</v>
      </c>
      <c r="R14" s="165"/>
      <c r="S14" s="165"/>
      <c r="T14" s="165"/>
      <c r="U14" s="165"/>
      <c r="V14" s="165"/>
      <c r="W14" s="165"/>
      <c r="X14" s="165"/>
      <c r="Y14" s="165"/>
      <c r="Z14" s="165"/>
      <c r="AA14" s="165"/>
      <c r="AB14" s="165"/>
      <c r="AC14" s="165"/>
      <c r="AD14" s="165"/>
      <c r="AE14" s="165"/>
      <c r="AF14" s="165"/>
      <c r="AG14" s="165"/>
      <c r="AH14" s="165"/>
      <c r="AI14" s="165"/>
      <c r="AJ14" s="165"/>
      <c r="AK14" s="165"/>
      <c r="AL14" s="166"/>
    </row>
    <row r="15" spans="1:39" ht="19.5" customHeight="1">
      <c r="A15" s="162"/>
      <c r="B15" s="163"/>
      <c r="C15" s="163"/>
      <c r="D15" s="163"/>
      <c r="E15" s="163"/>
      <c r="F15" s="163"/>
      <c r="G15" s="133" t="s">
        <v>40</v>
      </c>
      <c r="H15" s="126"/>
      <c r="I15" s="126"/>
      <c r="J15" s="127"/>
      <c r="K15" s="337" t="s">
        <v>304</v>
      </c>
      <c r="L15" s="338"/>
      <c r="M15" s="338"/>
      <c r="N15" s="338"/>
      <c r="O15" s="338"/>
      <c r="P15" s="339"/>
      <c r="Q15" s="319" t="s">
        <v>305</v>
      </c>
      <c r="R15" s="320"/>
      <c r="S15" s="320"/>
      <c r="T15" s="320"/>
      <c r="U15" s="320"/>
      <c r="V15" s="320"/>
      <c r="W15" s="320"/>
      <c r="X15" s="320"/>
      <c r="Y15" s="320"/>
      <c r="Z15" s="320"/>
      <c r="AA15" s="320"/>
      <c r="AB15" s="320"/>
      <c r="AC15" s="320"/>
      <c r="AD15" s="320"/>
      <c r="AE15" s="320"/>
      <c r="AF15" s="320"/>
      <c r="AG15" s="320"/>
      <c r="AH15" s="320"/>
      <c r="AI15" s="320"/>
      <c r="AJ15" s="320"/>
      <c r="AK15" s="320"/>
      <c r="AL15" s="321"/>
    </row>
    <row r="16" spans="1:39" ht="19.5" customHeight="1">
      <c r="A16" s="162"/>
      <c r="B16" s="163"/>
      <c r="C16" s="163"/>
      <c r="D16" s="163"/>
      <c r="E16" s="163"/>
      <c r="F16" s="163"/>
      <c r="G16" s="133" t="s">
        <v>43</v>
      </c>
      <c r="H16" s="126"/>
      <c r="I16" s="126"/>
      <c r="J16" s="127"/>
      <c r="K16" s="337" t="s">
        <v>306</v>
      </c>
      <c r="L16" s="338"/>
      <c r="M16" s="338"/>
      <c r="N16" s="338"/>
      <c r="O16" s="338"/>
      <c r="P16" s="339"/>
      <c r="Q16" s="319" t="s">
        <v>307</v>
      </c>
      <c r="R16" s="320"/>
      <c r="S16" s="320"/>
      <c r="T16" s="320"/>
      <c r="U16" s="320"/>
      <c r="V16" s="320"/>
      <c r="W16" s="320"/>
      <c r="X16" s="320"/>
      <c r="Y16" s="320"/>
      <c r="Z16" s="320"/>
      <c r="AA16" s="320"/>
      <c r="AB16" s="320"/>
      <c r="AC16" s="320"/>
      <c r="AD16" s="320"/>
      <c r="AE16" s="320"/>
      <c r="AF16" s="320"/>
      <c r="AG16" s="320"/>
      <c r="AH16" s="320"/>
      <c r="AI16" s="320"/>
      <c r="AJ16" s="320"/>
      <c r="AK16" s="320"/>
      <c r="AL16" s="321"/>
    </row>
    <row r="17" spans="1:52" ht="19.5" customHeight="1">
      <c r="A17" s="162"/>
      <c r="B17" s="163"/>
      <c r="C17" s="163"/>
      <c r="D17" s="163"/>
      <c r="E17" s="163"/>
      <c r="F17" s="163"/>
      <c r="G17" s="133" t="s">
        <v>46</v>
      </c>
      <c r="H17" s="126"/>
      <c r="I17" s="126"/>
      <c r="J17" s="127"/>
      <c r="K17" s="337" t="s">
        <v>323</v>
      </c>
      <c r="L17" s="338"/>
      <c r="M17" s="338"/>
      <c r="N17" s="338"/>
      <c r="O17" s="338"/>
      <c r="P17" s="339"/>
      <c r="Q17" s="319" t="s">
        <v>308</v>
      </c>
      <c r="R17" s="320"/>
      <c r="S17" s="320"/>
      <c r="T17" s="320"/>
      <c r="U17" s="320"/>
      <c r="V17" s="320"/>
      <c r="W17" s="320"/>
      <c r="X17" s="320"/>
      <c r="Y17" s="320"/>
      <c r="Z17" s="320"/>
      <c r="AA17" s="320"/>
      <c r="AB17" s="320"/>
      <c r="AC17" s="320"/>
      <c r="AD17" s="320"/>
      <c r="AE17" s="320"/>
      <c r="AF17" s="320"/>
      <c r="AG17" s="320"/>
      <c r="AH17" s="320"/>
      <c r="AI17" s="320"/>
      <c r="AJ17" s="320"/>
      <c r="AK17" s="320"/>
      <c r="AL17" s="321"/>
    </row>
    <row r="18" spans="1:52" ht="19.5" customHeight="1">
      <c r="A18" s="162"/>
      <c r="B18" s="163"/>
      <c r="C18" s="163"/>
      <c r="D18" s="163"/>
      <c r="E18" s="163"/>
      <c r="F18" s="163"/>
      <c r="G18" s="133" t="s">
        <v>48</v>
      </c>
      <c r="H18" s="126"/>
      <c r="I18" s="126"/>
      <c r="J18" s="127"/>
      <c r="K18" s="337" t="s">
        <v>304</v>
      </c>
      <c r="L18" s="338"/>
      <c r="M18" s="338"/>
      <c r="N18" s="338"/>
      <c r="O18" s="338"/>
      <c r="P18" s="339"/>
      <c r="Q18" s="319" t="s">
        <v>309</v>
      </c>
      <c r="R18" s="320"/>
      <c r="S18" s="320"/>
      <c r="T18" s="320"/>
      <c r="U18" s="320"/>
      <c r="V18" s="320"/>
      <c r="W18" s="320"/>
      <c r="X18" s="320"/>
      <c r="Y18" s="320"/>
      <c r="Z18" s="320"/>
      <c r="AA18" s="320"/>
      <c r="AB18" s="320"/>
      <c r="AC18" s="320"/>
      <c r="AD18" s="320"/>
      <c r="AE18" s="320"/>
      <c r="AF18" s="320"/>
      <c r="AG18" s="320"/>
      <c r="AH18" s="320"/>
      <c r="AI18" s="320"/>
      <c r="AJ18" s="320"/>
      <c r="AK18" s="320"/>
      <c r="AL18" s="321"/>
    </row>
    <row r="19" spans="1:52" ht="19.5" customHeight="1">
      <c r="A19" s="162"/>
      <c r="B19" s="163"/>
      <c r="C19" s="163"/>
      <c r="D19" s="163"/>
      <c r="E19" s="163"/>
      <c r="F19" s="163"/>
      <c r="G19" s="133" t="s">
        <v>50</v>
      </c>
      <c r="H19" s="126"/>
      <c r="I19" s="126"/>
      <c r="J19" s="127"/>
      <c r="K19" s="337" t="s">
        <v>306</v>
      </c>
      <c r="L19" s="338"/>
      <c r="M19" s="338"/>
      <c r="N19" s="338"/>
      <c r="O19" s="338"/>
      <c r="P19" s="339"/>
      <c r="Q19" s="319" t="s">
        <v>307</v>
      </c>
      <c r="R19" s="320"/>
      <c r="S19" s="320"/>
      <c r="T19" s="320"/>
      <c r="U19" s="320"/>
      <c r="V19" s="320"/>
      <c r="W19" s="320"/>
      <c r="X19" s="320"/>
      <c r="Y19" s="320"/>
      <c r="Z19" s="320"/>
      <c r="AA19" s="320"/>
      <c r="AB19" s="320"/>
      <c r="AC19" s="320"/>
      <c r="AD19" s="320"/>
      <c r="AE19" s="320"/>
      <c r="AF19" s="320"/>
      <c r="AG19" s="320"/>
      <c r="AH19" s="320"/>
      <c r="AI19" s="320"/>
      <c r="AJ19" s="320"/>
      <c r="AK19" s="320"/>
      <c r="AL19" s="321"/>
    </row>
    <row r="20" spans="1:52" ht="24.75" customHeight="1">
      <c r="A20" s="154" t="s">
        <v>51</v>
      </c>
      <c r="B20" s="209" t="s">
        <v>52</v>
      </c>
      <c r="C20" s="210"/>
      <c r="D20" s="210"/>
      <c r="E20" s="210"/>
      <c r="F20" s="211"/>
      <c r="G20" s="31"/>
      <c r="H20" s="32" t="s">
        <v>53</v>
      </c>
      <c r="I20" s="32"/>
      <c r="J20" s="32"/>
      <c r="K20" s="32"/>
      <c r="L20" s="33"/>
      <c r="M20" s="33"/>
      <c r="N20" s="33"/>
      <c r="O20" s="32" t="s">
        <v>54</v>
      </c>
      <c r="P20" s="32"/>
      <c r="Q20" s="32"/>
      <c r="R20" s="32"/>
      <c r="S20" s="34"/>
      <c r="T20" s="34"/>
      <c r="U20" s="33"/>
      <c r="V20" s="32" t="s">
        <v>55</v>
      </c>
      <c r="W20" s="32"/>
      <c r="X20" s="32"/>
      <c r="Y20" s="32"/>
      <c r="Z20" s="34"/>
      <c r="AA20" s="57" t="str">
        <f>IF($AM$20=0,"←ボタンを選択してください",IF($AM$20=1,"↓謝金詳細を入力してください","⑨については入力完了です"))</f>
        <v>↓謝金詳細を入力してください</v>
      </c>
      <c r="AB20" s="34"/>
      <c r="AC20" s="34"/>
      <c r="AE20" s="34"/>
      <c r="AF20" s="34"/>
      <c r="AG20" s="34"/>
      <c r="AH20" s="34"/>
      <c r="AI20" s="34"/>
      <c r="AJ20" s="34"/>
      <c r="AK20" s="34"/>
      <c r="AL20" s="35"/>
      <c r="AM20" s="1">
        <v>1</v>
      </c>
    </row>
    <row r="21" spans="1:52" ht="18.75" customHeight="1">
      <c r="A21" s="154"/>
      <c r="B21" s="200" t="s">
        <v>56</v>
      </c>
      <c r="C21" s="200"/>
      <c r="D21" s="191" t="s">
        <v>57</v>
      </c>
      <c r="E21" s="192"/>
      <c r="F21" s="193"/>
      <c r="G21" s="26"/>
      <c r="H21" s="27"/>
      <c r="I21" s="27" t="s">
        <v>58</v>
      </c>
      <c r="J21" s="27"/>
      <c r="K21" s="27"/>
      <c r="L21" s="27"/>
      <c r="M21" s="27" t="s">
        <v>59</v>
      </c>
      <c r="N21" s="27"/>
      <c r="O21" s="27"/>
      <c r="P21" s="27"/>
      <c r="Q21" s="27"/>
      <c r="R21" s="27"/>
      <c r="S21" s="27" t="s">
        <v>60</v>
      </c>
      <c r="T21" s="27"/>
      <c r="U21" s="27"/>
      <c r="V21" s="27"/>
      <c r="W21" s="27" t="s">
        <v>61</v>
      </c>
      <c r="X21" s="27"/>
      <c r="Y21" s="27"/>
      <c r="Z21" s="27"/>
      <c r="AA21" s="27" t="s">
        <v>62</v>
      </c>
      <c r="AB21" s="27"/>
      <c r="AC21" s="27"/>
      <c r="AD21" s="27"/>
      <c r="AE21" s="27" t="s">
        <v>63</v>
      </c>
      <c r="AF21" s="27"/>
      <c r="AG21" s="27"/>
      <c r="AH21" s="27"/>
      <c r="AI21" s="27" t="s">
        <v>64</v>
      </c>
      <c r="AJ21" s="27"/>
      <c r="AK21" s="27"/>
      <c r="AL21" s="36"/>
      <c r="AM21" s="1">
        <v>14</v>
      </c>
    </row>
    <row r="22" spans="1:52" ht="18.75" customHeight="1">
      <c r="A22" s="154"/>
      <c r="B22" s="200"/>
      <c r="C22" s="200"/>
      <c r="D22" s="188"/>
      <c r="E22" s="189"/>
      <c r="F22" s="190"/>
      <c r="G22" s="28"/>
      <c r="H22" s="29"/>
      <c r="I22" s="37" t="s">
        <v>65</v>
      </c>
      <c r="J22" s="38"/>
      <c r="K22" s="29"/>
      <c r="L22" s="29"/>
      <c r="M22" s="29"/>
      <c r="N22" s="29" t="s">
        <v>66</v>
      </c>
      <c r="O22" s="29"/>
      <c r="P22" s="29"/>
      <c r="Q22" s="60" t="s">
        <v>67</v>
      </c>
      <c r="R22" s="87"/>
      <c r="S22" s="87"/>
      <c r="T22" s="87"/>
      <c r="U22" s="87"/>
      <c r="V22" s="87"/>
      <c r="W22" s="87"/>
      <c r="X22" s="29" t="s">
        <v>68</v>
      </c>
      <c r="Y22" s="29"/>
      <c r="Z22" s="45" t="s">
        <v>69</v>
      </c>
      <c r="AA22" s="45"/>
      <c r="AB22" s="29"/>
      <c r="AC22" s="128"/>
      <c r="AD22" s="128"/>
      <c r="AE22" s="128"/>
      <c r="AF22" s="29" t="s">
        <v>70</v>
      </c>
      <c r="AG22" s="183" t="s">
        <v>71</v>
      </c>
      <c r="AH22" s="183"/>
      <c r="AI22" s="183"/>
      <c r="AJ22" s="184"/>
      <c r="AK22" s="184"/>
      <c r="AL22" s="131" t="str">
        <f>IF(AND($AM$21=3,AJ22=""),"←選択","")</f>
        <v/>
      </c>
      <c r="AM22" s="132"/>
    </row>
    <row r="23" spans="1:52" ht="18.75" customHeight="1">
      <c r="A23" s="154"/>
      <c r="B23" s="200"/>
      <c r="C23" s="200"/>
      <c r="D23" s="194" t="s">
        <v>72</v>
      </c>
      <c r="E23" s="195"/>
      <c r="F23" s="196"/>
      <c r="G23" s="40"/>
      <c r="I23" s="25" t="s">
        <v>73</v>
      </c>
      <c r="O23" s="25" t="s">
        <v>74</v>
      </c>
      <c r="U23" s="25" t="s">
        <v>75</v>
      </c>
      <c r="AB23" s="25" t="s">
        <v>76</v>
      </c>
      <c r="AH23" s="25" t="s">
        <v>77</v>
      </c>
      <c r="AL23" s="30"/>
    </row>
    <row r="24" spans="1:52" ht="18.75" customHeight="1">
      <c r="A24" s="154"/>
      <c r="B24" s="200"/>
      <c r="C24" s="200"/>
      <c r="D24" s="197"/>
      <c r="E24" s="198"/>
      <c r="F24" s="199"/>
      <c r="G24" s="28"/>
      <c r="H24" s="29"/>
      <c r="I24" s="37" t="s">
        <v>78</v>
      </c>
      <c r="J24" s="38"/>
      <c r="K24" s="29"/>
      <c r="L24" s="29"/>
      <c r="M24" s="29"/>
      <c r="N24" s="29" t="s">
        <v>79</v>
      </c>
      <c r="O24" s="29"/>
      <c r="P24" s="29"/>
      <c r="Q24" s="29"/>
      <c r="R24" s="29"/>
      <c r="S24" s="29" t="s">
        <v>66</v>
      </c>
      <c r="T24" s="29"/>
      <c r="U24" s="29"/>
      <c r="V24" s="60" t="s">
        <v>67</v>
      </c>
      <c r="W24" s="87"/>
      <c r="X24" s="87"/>
      <c r="Y24" s="87"/>
      <c r="Z24" s="87"/>
      <c r="AA24" s="87"/>
      <c r="AB24" s="87"/>
      <c r="AC24" s="29" t="s">
        <v>68</v>
      </c>
      <c r="AD24" s="29"/>
      <c r="AE24" s="29"/>
      <c r="AF24" s="29"/>
      <c r="AG24" s="29"/>
      <c r="AH24" s="29"/>
      <c r="AI24" s="29"/>
      <c r="AJ24" s="29"/>
      <c r="AK24" s="29"/>
      <c r="AL24" s="39"/>
    </row>
    <row r="25" spans="1:52" ht="13.5">
      <c r="A25" s="154"/>
      <c r="B25" s="185" t="s">
        <v>80</v>
      </c>
      <c r="C25" s="186"/>
      <c r="D25" s="186"/>
      <c r="E25" s="186"/>
      <c r="F25" s="187"/>
      <c r="G25" s="128" t="s">
        <v>81</v>
      </c>
      <c r="H25" s="128"/>
      <c r="I25" s="128"/>
      <c r="J25" s="129"/>
      <c r="K25" s="180" t="s">
        <v>82</v>
      </c>
      <c r="L25" s="128"/>
      <c r="M25" s="128"/>
      <c r="N25" s="129"/>
      <c r="O25" s="180" t="s">
        <v>83</v>
      </c>
      <c r="P25" s="128"/>
      <c r="Q25" s="128"/>
      <c r="R25" s="128"/>
      <c r="S25" s="128"/>
      <c r="T25" s="128"/>
      <c r="U25" s="128"/>
      <c r="V25" s="128"/>
      <c r="W25" s="128"/>
      <c r="X25" s="128"/>
      <c r="Y25" s="128"/>
      <c r="Z25" s="128"/>
      <c r="AA25" s="128"/>
      <c r="AB25" s="128"/>
      <c r="AC25" s="128"/>
      <c r="AD25" s="128"/>
      <c r="AE25" s="128"/>
      <c r="AF25" s="129"/>
      <c r="AG25" s="128" t="s">
        <v>84</v>
      </c>
      <c r="AH25" s="128"/>
      <c r="AI25" s="128"/>
      <c r="AJ25" s="128"/>
      <c r="AK25" s="128"/>
      <c r="AL25" s="129"/>
    </row>
    <row r="26" spans="1:52" ht="18.75" customHeight="1">
      <c r="A26" s="154"/>
      <c r="B26" s="185"/>
      <c r="C26" s="186"/>
      <c r="D26" s="186"/>
      <c r="E26" s="186"/>
      <c r="F26" s="187"/>
      <c r="G26" s="333">
        <v>1080</v>
      </c>
      <c r="H26" s="334"/>
      <c r="I26" s="334"/>
      <c r="J26" s="35" t="s">
        <v>85</v>
      </c>
      <c r="K26" s="41" t="s">
        <v>86</v>
      </c>
      <c r="L26" s="335">
        <v>15</v>
      </c>
      <c r="M26" s="336"/>
      <c r="N26" s="336"/>
      <c r="O26" s="44"/>
      <c r="P26" s="34" t="s">
        <v>87</v>
      </c>
      <c r="S26" s="165" t="s">
        <v>27</v>
      </c>
      <c r="T26" s="165"/>
      <c r="U26" s="33"/>
      <c r="W26" s="34" t="s">
        <v>88</v>
      </c>
      <c r="Z26" s="130" t="s">
        <v>89</v>
      </c>
      <c r="AA26" s="130"/>
      <c r="AB26" s="130"/>
      <c r="AC26" s="42" t="s">
        <v>21</v>
      </c>
      <c r="AD26" s="125"/>
      <c r="AE26" s="125"/>
      <c r="AF26" s="43" t="s">
        <v>23</v>
      </c>
      <c r="AG26" s="212">
        <f>G26*L26</f>
        <v>16200</v>
      </c>
      <c r="AH26" s="213"/>
      <c r="AI26" s="213"/>
      <c r="AJ26" s="213"/>
      <c r="AK26" s="214"/>
      <c r="AL26" s="43" t="s">
        <v>85</v>
      </c>
      <c r="AM26" s="1">
        <v>2</v>
      </c>
    </row>
    <row r="27" spans="1:52" ht="18.75" customHeight="1">
      <c r="A27" s="154"/>
      <c r="B27" s="185"/>
      <c r="C27" s="186"/>
      <c r="D27" s="186"/>
      <c r="E27" s="186"/>
      <c r="F27" s="187"/>
      <c r="G27" s="62"/>
      <c r="H27" s="61"/>
      <c r="I27" s="126" t="s">
        <v>90</v>
      </c>
      <c r="J27" s="126"/>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7"/>
      <c r="AM27" s="1">
        <v>2</v>
      </c>
    </row>
    <row r="28" spans="1:52" ht="18.75" customHeight="1">
      <c r="A28" s="154"/>
      <c r="B28" s="188"/>
      <c r="C28" s="189"/>
      <c r="D28" s="189"/>
      <c r="E28" s="189"/>
      <c r="F28" s="190"/>
      <c r="G28" s="28"/>
      <c r="H28" s="44"/>
      <c r="I28" s="126" t="s">
        <v>91</v>
      </c>
      <c r="J28" s="126"/>
      <c r="K28" s="126"/>
      <c r="L28" s="126"/>
      <c r="M28" s="126"/>
      <c r="N28" s="126"/>
      <c r="O28" s="126"/>
      <c r="P28" s="126"/>
      <c r="Q28" s="127"/>
      <c r="R28" s="151">
        <v>10000</v>
      </c>
      <c r="S28" s="152"/>
      <c r="T28" s="152"/>
      <c r="U28" s="152"/>
      <c r="V28" s="152"/>
      <c r="W28" s="152"/>
      <c r="X28" s="152"/>
      <c r="Y28" s="152"/>
      <c r="Z28" s="152"/>
      <c r="AA28" s="152"/>
      <c r="AB28" s="152"/>
      <c r="AC28" s="152"/>
      <c r="AD28" s="152"/>
      <c r="AE28" s="153"/>
      <c r="AF28" s="207" t="s">
        <v>92</v>
      </c>
      <c r="AG28" s="207"/>
      <c r="AH28" s="207"/>
      <c r="AI28" s="207"/>
      <c r="AJ28" s="207"/>
      <c r="AK28" s="207"/>
      <c r="AL28" s="207"/>
      <c r="AM28" s="24"/>
    </row>
    <row r="29" spans="1:52" ht="24.75" customHeight="1">
      <c r="A29" s="171" t="s">
        <v>93</v>
      </c>
      <c r="B29" s="172"/>
      <c r="C29" s="172"/>
      <c r="D29" s="172"/>
      <c r="E29" s="172"/>
      <c r="F29" s="173"/>
      <c r="G29" s="33"/>
      <c r="H29" s="32" t="s">
        <v>53</v>
      </c>
      <c r="I29" s="32"/>
      <c r="J29" s="32"/>
      <c r="K29" s="32"/>
      <c r="L29" s="33"/>
      <c r="M29" s="33"/>
      <c r="N29" s="33"/>
      <c r="O29" s="32" t="s">
        <v>54</v>
      </c>
      <c r="P29" s="32"/>
      <c r="Q29" s="32"/>
      <c r="R29" s="32"/>
      <c r="S29" s="34"/>
      <c r="T29" s="34"/>
      <c r="U29" s="33"/>
      <c r="V29" s="32" t="s">
        <v>55</v>
      </c>
      <c r="W29" s="32"/>
      <c r="X29" s="32"/>
      <c r="Y29" s="32"/>
      <c r="Z29" s="33"/>
      <c r="AA29" s="57" t="str">
        <f>IF($AM$29=0,"←ボタンを選択してください",IF($AM$29=1,"↓旅費詳細を入力してください","⑩については入力完了です"))</f>
        <v>⑩については入力完了です</v>
      </c>
      <c r="AB29" s="33"/>
      <c r="AC29" s="33"/>
      <c r="AD29" s="34"/>
      <c r="AF29" s="33"/>
      <c r="AG29" s="33"/>
      <c r="AH29" s="33"/>
      <c r="AI29" s="33"/>
      <c r="AJ29" s="33"/>
      <c r="AK29" s="33"/>
      <c r="AL29" s="43"/>
      <c r="AM29" s="1">
        <v>2</v>
      </c>
    </row>
    <row r="30" spans="1:52" ht="18.75" customHeight="1">
      <c r="A30" s="174"/>
      <c r="B30" s="175"/>
      <c r="C30" s="175"/>
      <c r="D30" s="175"/>
      <c r="E30" s="175"/>
      <c r="F30" s="176"/>
      <c r="G30" s="26"/>
      <c r="H30" s="44"/>
      <c r="I30" s="126" t="s">
        <v>94</v>
      </c>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7"/>
      <c r="AM30" s="1">
        <v>2</v>
      </c>
    </row>
    <row r="31" spans="1:52" ht="18.75" customHeight="1">
      <c r="A31" s="177"/>
      <c r="B31" s="178"/>
      <c r="C31" s="178"/>
      <c r="D31" s="178"/>
      <c r="E31" s="178"/>
      <c r="F31" s="179"/>
      <c r="G31" s="28"/>
      <c r="H31" s="28"/>
      <c r="I31" s="126" t="s">
        <v>95</v>
      </c>
      <c r="J31" s="126"/>
      <c r="K31" s="126"/>
      <c r="L31" s="126"/>
      <c r="M31" s="126"/>
      <c r="N31" s="126"/>
      <c r="O31" s="126"/>
      <c r="P31" s="126"/>
      <c r="Q31" s="127"/>
      <c r="R31" s="151"/>
      <c r="S31" s="152"/>
      <c r="T31" s="152"/>
      <c r="U31" s="152"/>
      <c r="V31" s="152"/>
      <c r="W31" s="152"/>
      <c r="X31" s="152"/>
      <c r="Y31" s="152"/>
      <c r="Z31" s="152"/>
      <c r="AA31" s="152"/>
      <c r="AB31" s="152"/>
      <c r="AC31" s="152"/>
      <c r="AD31" s="152"/>
      <c r="AE31" s="153"/>
      <c r="AF31" s="148" t="s">
        <v>92</v>
      </c>
      <c r="AG31" s="149"/>
      <c r="AH31" s="149"/>
      <c r="AI31" s="149"/>
      <c r="AJ31" s="149"/>
      <c r="AK31" s="149"/>
      <c r="AL31" s="150"/>
    </row>
    <row r="32" spans="1:52" ht="24" customHeight="1">
      <c r="A32" s="91" t="s">
        <v>96</v>
      </c>
      <c r="B32" s="92"/>
      <c r="C32" s="92"/>
      <c r="D32" s="92"/>
      <c r="E32" s="92"/>
      <c r="F32" s="93"/>
      <c r="G32" s="1"/>
      <c r="H32" s="29" t="s">
        <v>97</v>
      </c>
      <c r="I32" s="29"/>
      <c r="J32" s="29" t="s">
        <v>21</v>
      </c>
      <c r="K32" s="1"/>
      <c r="L32" s="29" t="s">
        <v>98</v>
      </c>
      <c r="M32" s="29"/>
      <c r="N32" s="29"/>
      <c r="O32" s="29"/>
      <c r="P32" s="29"/>
      <c r="Q32" s="1"/>
      <c r="R32" s="126" t="s">
        <v>99</v>
      </c>
      <c r="S32" s="126"/>
      <c r="T32" s="126"/>
      <c r="U32" s="126"/>
      <c r="V32" s="29"/>
      <c r="W32" s="1"/>
      <c r="X32" s="208" t="s">
        <v>100</v>
      </c>
      <c r="Y32" s="208"/>
      <c r="Z32" s="208"/>
      <c r="AA32" s="208"/>
      <c r="AB32" s="208"/>
      <c r="AC32" s="208"/>
      <c r="AD32" s="205" t="s">
        <v>101</v>
      </c>
      <c r="AE32" s="205"/>
      <c r="AF32" s="205"/>
      <c r="AG32" s="330" t="s">
        <v>321</v>
      </c>
      <c r="AH32" s="331"/>
      <c r="AI32" s="331"/>
      <c r="AJ32" s="331"/>
      <c r="AK32" s="331"/>
      <c r="AL32" s="332"/>
      <c r="AM32" s="1">
        <v>3</v>
      </c>
      <c r="AN32" s="1" t="b">
        <v>0</v>
      </c>
      <c r="AZ32" s="2"/>
    </row>
    <row r="33" spans="1:39" ht="22.5" customHeight="1">
      <c r="A33" s="136" t="s">
        <v>102</v>
      </c>
      <c r="B33" s="137"/>
      <c r="C33" s="137"/>
      <c r="D33" s="137"/>
      <c r="E33" s="137"/>
      <c r="F33" s="138"/>
      <c r="G33" s="328" t="s">
        <v>103</v>
      </c>
      <c r="H33" s="206"/>
      <c r="I33" s="206"/>
      <c r="J33" s="206"/>
      <c r="K33" s="206"/>
      <c r="L33" s="206"/>
      <c r="M33" s="123" t="s">
        <v>104</v>
      </c>
      <c r="N33" s="123"/>
      <c r="O33" s="123"/>
      <c r="P33" s="123"/>
      <c r="Q33" s="201"/>
      <c r="R33" s="201"/>
      <c r="S33" s="201"/>
      <c r="T33" s="201"/>
      <c r="U33" s="201"/>
      <c r="V33" s="201"/>
      <c r="W33" s="201"/>
      <c r="X33" s="201"/>
      <c r="Y33" s="201"/>
      <c r="Z33" s="201"/>
      <c r="AA33" s="201"/>
      <c r="AB33" s="201"/>
      <c r="AC33" s="201"/>
      <c r="AD33" s="201"/>
      <c r="AE33" s="201"/>
      <c r="AF33" s="201"/>
      <c r="AG33" s="201"/>
      <c r="AH33" s="201"/>
      <c r="AI33" s="201"/>
      <c r="AJ33" s="201"/>
      <c r="AK33" s="201"/>
      <c r="AL33" s="201"/>
    </row>
    <row r="34" spans="1:39" ht="22.5" customHeight="1">
      <c r="A34" s="139"/>
      <c r="B34" s="140"/>
      <c r="C34" s="140"/>
      <c r="D34" s="140"/>
      <c r="E34" s="140"/>
      <c r="F34" s="141"/>
      <c r="G34" s="1"/>
      <c r="H34" s="29" t="s">
        <v>105</v>
      </c>
      <c r="I34" s="29"/>
      <c r="J34" s="1"/>
      <c r="K34" s="128" t="s">
        <v>106</v>
      </c>
      <c r="L34" s="128"/>
      <c r="M34" s="123" t="s">
        <v>107</v>
      </c>
      <c r="N34" s="123"/>
      <c r="O34" s="123"/>
      <c r="P34" s="123"/>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1">
        <v>2</v>
      </c>
    </row>
    <row r="35" spans="1:39" ht="22.5" customHeight="1">
      <c r="A35" s="139"/>
      <c r="B35" s="140"/>
      <c r="C35" s="140"/>
      <c r="D35" s="140"/>
      <c r="E35" s="140"/>
      <c r="F35" s="141"/>
      <c r="G35" s="329" t="s">
        <v>311</v>
      </c>
      <c r="H35" s="230"/>
      <c r="I35" s="230"/>
      <c r="J35" s="230"/>
      <c r="K35" s="230"/>
      <c r="L35" s="230"/>
      <c r="M35" s="123" t="s">
        <v>109</v>
      </c>
      <c r="N35" s="123"/>
      <c r="O35" s="123"/>
      <c r="P35" s="123"/>
      <c r="Q35" s="319" t="s">
        <v>310</v>
      </c>
      <c r="R35" s="320"/>
      <c r="S35" s="320"/>
      <c r="T35" s="320"/>
      <c r="U35" s="320"/>
      <c r="V35" s="320"/>
      <c r="W35" s="320"/>
      <c r="X35" s="321"/>
      <c r="Y35" s="123" t="s">
        <v>110</v>
      </c>
      <c r="Z35" s="123"/>
      <c r="AA35" s="123"/>
      <c r="AB35" s="123"/>
      <c r="AC35" s="319" t="s">
        <v>312</v>
      </c>
      <c r="AD35" s="320"/>
      <c r="AE35" s="320"/>
      <c r="AF35" s="320"/>
      <c r="AG35" s="320"/>
      <c r="AH35" s="320"/>
      <c r="AI35" s="320"/>
      <c r="AJ35" s="320"/>
      <c r="AK35" s="320"/>
      <c r="AL35" s="321"/>
    </row>
    <row r="36" spans="1:39" ht="22.5" customHeight="1">
      <c r="A36" s="139"/>
      <c r="B36" s="140"/>
      <c r="C36" s="140"/>
      <c r="D36" s="140"/>
      <c r="E36" s="140"/>
      <c r="F36" s="141"/>
      <c r="G36" s="180"/>
      <c r="H36" s="128"/>
      <c r="I36" s="128"/>
      <c r="J36" s="128"/>
      <c r="K36" s="128"/>
      <c r="L36" s="128"/>
      <c r="M36" s="124" t="s">
        <v>111</v>
      </c>
      <c r="N36" s="124"/>
      <c r="O36" s="124"/>
      <c r="P36" s="124"/>
      <c r="Q36" s="322" t="s">
        <v>313</v>
      </c>
      <c r="R36" s="323"/>
      <c r="S36" s="323"/>
      <c r="T36" s="323"/>
      <c r="U36" s="323"/>
      <c r="V36" s="323"/>
      <c r="W36" s="323"/>
      <c r="X36" s="323"/>
      <c r="Y36" s="323"/>
      <c r="Z36" s="323"/>
      <c r="AA36" s="323"/>
      <c r="AB36" s="323"/>
      <c r="AC36" s="323"/>
      <c r="AD36" s="323"/>
      <c r="AE36" s="323"/>
      <c r="AF36" s="323"/>
      <c r="AG36" s="323"/>
      <c r="AH36" s="323"/>
      <c r="AI36" s="323"/>
      <c r="AJ36" s="323"/>
      <c r="AK36" s="323"/>
      <c r="AL36" s="323"/>
    </row>
    <row r="37" spans="1:39" ht="21.75" customHeight="1">
      <c r="A37" s="139"/>
      <c r="B37" s="140"/>
      <c r="C37" s="140"/>
      <c r="D37" s="140"/>
      <c r="E37" s="140"/>
      <c r="F37" s="141"/>
      <c r="G37" s="164" t="s">
        <v>112</v>
      </c>
      <c r="H37" s="165"/>
      <c r="I37" s="165"/>
      <c r="J37" s="165"/>
      <c r="K37" s="165"/>
      <c r="L37" s="165"/>
      <c r="M37" s="165"/>
      <c r="N37" s="165"/>
      <c r="O37" s="165"/>
      <c r="P37" s="166"/>
      <c r="Q37" s="344" t="s">
        <v>320</v>
      </c>
      <c r="R37" s="345"/>
      <c r="S37" s="345"/>
      <c r="T37" s="346"/>
      <c r="U37" s="226" t="str">
        <f>IF($AM$21=14,"※承認された最新の実施計画書、同意書、参加者募集チラシを添付","")</f>
        <v>※承認された最新の実施計画書、同意書、参加者募集チラシを添付</v>
      </c>
      <c r="V37" s="227"/>
      <c r="W37" s="227"/>
      <c r="X37" s="227"/>
      <c r="Y37" s="227"/>
      <c r="Z37" s="227"/>
      <c r="AA37" s="227"/>
      <c r="AB37" s="227"/>
      <c r="AC37" s="227"/>
      <c r="AD37" s="227"/>
      <c r="AE37" s="227"/>
      <c r="AF37" s="227"/>
      <c r="AG37" s="227"/>
      <c r="AH37" s="227"/>
      <c r="AI37" s="227"/>
      <c r="AJ37" s="227"/>
      <c r="AK37" s="227"/>
      <c r="AL37" s="228"/>
    </row>
    <row r="38" spans="1:39" ht="22.5" customHeight="1">
      <c r="A38" s="94"/>
      <c r="B38" s="95"/>
      <c r="C38" s="95"/>
      <c r="D38" s="95"/>
      <c r="E38" s="95"/>
      <c r="F38" s="96"/>
      <c r="G38" s="324" t="s">
        <v>322</v>
      </c>
      <c r="H38" s="325"/>
      <c r="I38" s="325"/>
      <c r="J38" s="325"/>
      <c r="K38" s="325"/>
      <c r="L38" s="325"/>
      <c r="M38" s="325"/>
      <c r="N38" s="325"/>
      <c r="O38" s="325"/>
      <c r="P38" s="325"/>
      <c r="Q38" s="325"/>
      <c r="R38" s="325"/>
      <c r="S38" s="325"/>
      <c r="T38" s="325"/>
      <c r="U38" s="325"/>
      <c r="V38" s="325"/>
      <c r="W38" s="325"/>
      <c r="X38" s="325"/>
      <c r="Y38" s="325"/>
      <c r="Z38" s="325"/>
      <c r="AA38" s="325"/>
      <c r="AB38" s="325"/>
      <c r="AC38" s="325"/>
      <c r="AD38" s="325"/>
      <c r="AE38" s="325"/>
      <c r="AF38" s="325"/>
      <c r="AG38" s="325"/>
      <c r="AH38" s="325"/>
      <c r="AI38" s="325"/>
      <c r="AJ38" s="325"/>
      <c r="AK38" s="325"/>
      <c r="AL38" s="326"/>
    </row>
    <row r="39" spans="1:39" ht="18.75" customHeight="1">
      <c r="B39" s="25" t="s">
        <v>113</v>
      </c>
    </row>
    <row r="40" spans="1:39" ht="18.75" customHeight="1">
      <c r="A40" s="25" t="s">
        <v>114</v>
      </c>
      <c r="C40" s="327">
        <v>6</v>
      </c>
      <c r="D40" s="327"/>
      <c r="E40" s="25" t="s">
        <v>115</v>
      </c>
      <c r="F40" s="327">
        <v>4</v>
      </c>
      <c r="G40" s="327"/>
      <c r="H40" s="25" t="s">
        <v>116</v>
      </c>
      <c r="I40" s="327">
        <v>1</v>
      </c>
      <c r="J40" s="327"/>
      <c r="K40" s="25" t="s">
        <v>117</v>
      </c>
      <c r="M40" s="25" t="s">
        <v>118</v>
      </c>
      <c r="O40" s="317" t="s">
        <v>119</v>
      </c>
      <c r="P40" s="317"/>
      <c r="Q40" s="317"/>
      <c r="R40" s="317"/>
      <c r="S40" s="317"/>
      <c r="T40" s="317"/>
      <c r="U40" s="317"/>
      <c r="V40" s="317"/>
      <c r="W40" s="317"/>
      <c r="X40" s="317"/>
      <c r="Y40" s="317"/>
      <c r="Z40" s="217" t="s">
        <v>120</v>
      </c>
      <c r="AA40" s="217"/>
      <c r="AB40" s="317" t="s">
        <v>314</v>
      </c>
      <c r="AC40" s="317"/>
      <c r="AD40" s="317"/>
      <c r="AE40" s="317"/>
      <c r="AF40" s="317"/>
      <c r="AG40" s="317"/>
      <c r="AH40" s="317"/>
      <c r="AI40" s="317"/>
      <c r="AJ40" s="317"/>
      <c r="AK40" s="317"/>
      <c r="AL40" s="317"/>
    </row>
    <row r="41" spans="1:39" ht="18.75" customHeight="1">
      <c r="M41" s="25" t="s">
        <v>16</v>
      </c>
      <c r="O41" s="318" t="s">
        <v>303</v>
      </c>
      <c r="P41" s="318"/>
      <c r="Q41" s="318"/>
      <c r="R41" s="318"/>
      <c r="S41" s="318"/>
      <c r="T41" s="318"/>
      <c r="U41" s="318"/>
      <c r="V41" s="318"/>
      <c r="W41" s="318"/>
      <c r="X41" s="318"/>
      <c r="Y41" s="318"/>
      <c r="Z41" s="318"/>
      <c r="AA41" s="318"/>
      <c r="AB41" s="318"/>
      <c r="AC41" s="318"/>
      <c r="AD41" s="318"/>
      <c r="AE41" s="318"/>
      <c r="AF41" s="318"/>
      <c r="AG41" s="318"/>
      <c r="AH41" s="318"/>
      <c r="AI41" s="318"/>
      <c r="AJ41" s="318"/>
      <c r="AK41" s="318"/>
      <c r="AL41" s="318"/>
    </row>
    <row r="42" spans="1:39" ht="18.75" customHeight="1">
      <c r="M42" s="25" t="s">
        <v>109</v>
      </c>
      <c r="O42" s="318" t="s">
        <v>310</v>
      </c>
      <c r="P42" s="318"/>
      <c r="Q42" s="318"/>
      <c r="R42" s="318"/>
      <c r="S42" s="318"/>
      <c r="T42" s="318"/>
      <c r="U42" s="318"/>
      <c r="V42" s="318"/>
      <c r="W42" s="318"/>
      <c r="X42" s="318"/>
      <c r="Y42" s="318"/>
      <c r="Z42" s="318"/>
      <c r="AA42" s="318"/>
      <c r="AB42" s="318"/>
      <c r="AC42" s="318"/>
      <c r="AD42" s="318"/>
      <c r="AE42" s="318"/>
      <c r="AF42" s="318"/>
      <c r="AG42" s="318"/>
      <c r="AH42" s="318"/>
      <c r="AI42" s="318"/>
      <c r="AJ42" s="318"/>
      <c r="AK42" s="318"/>
      <c r="AL42" s="318"/>
    </row>
  </sheetData>
  <sheetProtection formatCells="0" selectLockedCells="1"/>
  <mergeCells count="120">
    <mergeCell ref="AJ22:AK22"/>
    <mergeCell ref="AL22:AM22"/>
    <mergeCell ref="G37:P37"/>
    <mergeCell ref="Q37:T37"/>
    <mergeCell ref="U37:AL37"/>
    <mergeCell ref="A1:AL1"/>
    <mergeCell ref="A3:F5"/>
    <mergeCell ref="G3:AL4"/>
    <mergeCell ref="H5:L5"/>
    <mergeCell ref="O5:S5"/>
    <mergeCell ref="V5:Z5"/>
    <mergeCell ref="C8:F8"/>
    <mergeCell ref="G8:T8"/>
    <mergeCell ref="A9:F11"/>
    <mergeCell ref="G9:I9"/>
    <mergeCell ref="J9:Q9"/>
    <mergeCell ref="S9:U9"/>
    <mergeCell ref="G11:R11"/>
    <mergeCell ref="S11:AL11"/>
    <mergeCell ref="A6:A8"/>
    <mergeCell ref="B6:F6"/>
    <mergeCell ref="G6:T6"/>
    <mergeCell ref="U6:X6"/>
    <mergeCell ref="Y6:AL6"/>
    <mergeCell ref="B7:B8"/>
    <mergeCell ref="C7:F7"/>
    <mergeCell ref="G7:T7"/>
    <mergeCell ref="U7:X8"/>
    <mergeCell ref="Y7:AL8"/>
    <mergeCell ref="A12:F13"/>
    <mergeCell ref="H12:K12"/>
    <mergeCell ref="N12:O12"/>
    <mergeCell ref="Q12:S12"/>
    <mergeCell ref="T12:AL12"/>
    <mergeCell ref="J13:P13"/>
    <mergeCell ref="Q13:S13"/>
    <mergeCell ref="T13:AL13"/>
    <mergeCell ref="V9:AC9"/>
    <mergeCell ref="AF9:AG9"/>
    <mergeCell ref="G10:I10"/>
    <mergeCell ref="J10:Q10"/>
    <mergeCell ref="S10:U10"/>
    <mergeCell ref="V10:AC10"/>
    <mergeCell ref="AF10:AG10"/>
    <mergeCell ref="G17:J17"/>
    <mergeCell ref="K17:P17"/>
    <mergeCell ref="Q17:AL17"/>
    <mergeCell ref="G18:J18"/>
    <mergeCell ref="K18:P18"/>
    <mergeCell ref="Q18:AL18"/>
    <mergeCell ref="A14:F19"/>
    <mergeCell ref="G14:J14"/>
    <mergeCell ref="K14:P14"/>
    <mergeCell ref="Q14:AL14"/>
    <mergeCell ref="G15:J15"/>
    <mergeCell ref="K15:P15"/>
    <mergeCell ref="Q15:AL15"/>
    <mergeCell ref="G16:J16"/>
    <mergeCell ref="K16:P16"/>
    <mergeCell ref="Q16:AL16"/>
    <mergeCell ref="G19:J19"/>
    <mergeCell ref="K19:P19"/>
    <mergeCell ref="Q19:AL19"/>
    <mergeCell ref="A20:A28"/>
    <mergeCell ref="B20:F20"/>
    <mergeCell ref="B21:C24"/>
    <mergeCell ref="D21:F22"/>
    <mergeCell ref="R22:W22"/>
    <mergeCell ref="D23:F24"/>
    <mergeCell ref="AD26:AE26"/>
    <mergeCell ref="AG26:AK26"/>
    <mergeCell ref="I27:AL27"/>
    <mergeCell ref="I28:Q28"/>
    <mergeCell ref="R28:AE28"/>
    <mergeCell ref="AF28:AL28"/>
    <mergeCell ref="W24:AB24"/>
    <mergeCell ref="B25:F28"/>
    <mergeCell ref="G25:J25"/>
    <mergeCell ref="K25:N25"/>
    <mergeCell ref="O25:AF25"/>
    <mergeCell ref="AG25:AL25"/>
    <mergeCell ref="G26:I26"/>
    <mergeCell ref="L26:N26"/>
    <mergeCell ref="S26:T26"/>
    <mergeCell ref="Z26:AB26"/>
    <mergeCell ref="AC22:AE22"/>
    <mergeCell ref="AG22:AI22"/>
    <mergeCell ref="A29:F31"/>
    <mergeCell ref="I30:AL30"/>
    <mergeCell ref="I31:Q31"/>
    <mergeCell ref="R31:AE31"/>
    <mergeCell ref="AF31:AL31"/>
    <mergeCell ref="A32:F32"/>
    <mergeCell ref="R32:U32"/>
    <mergeCell ref="X32:AC32"/>
    <mergeCell ref="AD32:AF32"/>
    <mergeCell ref="AG32:AL32"/>
    <mergeCell ref="AB40:AL40"/>
    <mergeCell ref="O41:AL41"/>
    <mergeCell ref="O42:AL42"/>
    <mergeCell ref="Y35:AB35"/>
    <mergeCell ref="AC35:AL35"/>
    <mergeCell ref="M36:P36"/>
    <mergeCell ref="Q36:AL36"/>
    <mergeCell ref="G38:AL38"/>
    <mergeCell ref="C40:D40"/>
    <mergeCell ref="F40:G40"/>
    <mergeCell ref="I40:J40"/>
    <mergeCell ref="O40:Y40"/>
    <mergeCell ref="Z40:AA40"/>
    <mergeCell ref="A33:F38"/>
    <mergeCell ref="G33:L33"/>
    <mergeCell ref="M33:P33"/>
    <mergeCell ref="Q33:AL33"/>
    <mergeCell ref="K34:L34"/>
    <mergeCell ref="M34:P34"/>
    <mergeCell ref="Q34:AL34"/>
    <mergeCell ref="G35:L36"/>
    <mergeCell ref="M35:P35"/>
    <mergeCell ref="Q35:X35"/>
  </mergeCells>
  <phoneticPr fontId="14"/>
  <conditionalFormatting sqref="G12:N12">
    <cfRule type="expression" dxfId="117" priority="72">
      <formula>$AM$12&gt;0</formula>
    </cfRule>
  </conditionalFormatting>
  <conditionalFormatting sqref="T12:AL13">
    <cfRule type="expression" dxfId="116" priority="71">
      <formula>AND($J$13&lt;&gt;"",$AM$12=2)</formula>
    </cfRule>
  </conditionalFormatting>
  <conditionalFormatting sqref="T12">
    <cfRule type="expression" dxfId="115" priority="69">
      <formula>AND($AM$12=2,$T$12="")</formula>
    </cfRule>
  </conditionalFormatting>
  <conditionalFormatting sqref="T13:AL13">
    <cfRule type="expression" dxfId="114" priority="67">
      <formula>AND($AM$12=2,$T$13="")</formula>
    </cfRule>
  </conditionalFormatting>
  <conditionalFormatting sqref="AB5 N5 G5">
    <cfRule type="expression" dxfId="113" priority="66">
      <formula>$AM$5&gt;0</formula>
    </cfRule>
  </conditionalFormatting>
  <conditionalFormatting sqref="H21:AL21 H23:AL23 H22:R22 X22:Y22 H24:U24 AC24:AL24">
    <cfRule type="expression" dxfId="112" priority="64">
      <formula>AND($AM$20=1,$AM$21&gt;0)</formula>
    </cfRule>
    <cfRule type="expression" dxfId="111" priority="65">
      <formula>AND($AM$20=1,$AM$21=0)</formula>
    </cfRule>
  </conditionalFormatting>
  <conditionalFormatting sqref="V24:W24">
    <cfRule type="expression" dxfId="110" priority="60">
      <formula>AND($AM$20=1,$AM$21&gt;0)</formula>
    </cfRule>
    <cfRule type="expression" dxfId="109" priority="61">
      <formula>AND($AM$20=1,$AM$21=0)</formula>
    </cfRule>
  </conditionalFormatting>
  <conditionalFormatting sqref="R22:W22">
    <cfRule type="expression" dxfId="108" priority="58">
      <formula>$R$22&lt;&gt;""</formula>
    </cfRule>
    <cfRule type="expression" dxfId="107" priority="59">
      <formula>$AM$21=9</formula>
    </cfRule>
  </conditionalFormatting>
  <conditionalFormatting sqref="W24:AB24">
    <cfRule type="expression" dxfId="106" priority="55">
      <formula>$W$24&lt;&gt;""</formula>
    </cfRule>
    <cfRule type="expression" dxfId="105" priority="56">
      <formula>$AM$21=17</formula>
    </cfRule>
  </conditionalFormatting>
  <conditionalFormatting sqref="G21:AL21 G28:AL28 G27:I27 O26:AC26 AF26:AL26 G23:AL25 G22:Y22">
    <cfRule type="expression" dxfId="104" priority="47">
      <formula>OR($AM$20=3,$AM$20=2)</formula>
    </cfRule>
  </conditionalFormatting>
  <conditionalFormatting sqref="H27:H28 O26 R26 V26 Y26">
    <cfRule type="expression" dxfId="103" priority="73">
      <formula>$AM$20=1</formula>
    </cfRule>
  </conditionalFormatting>
  <conditionalFormatting sqref="O26 R26 V26 Y26">
    <cfRule type="expression" dxfId="102" priority="50">
      <formula>$AM$26&gt;0</formula>
    </cfRule>
  </conditionalFormatting>
  <conditionalFormatting sqref="H27:H28">
    <cfRule type="expression" dxfId="101" priority="53">
      <formula>$AM$27&gt;0</formula>
    </cfRule>
  </conditionalFormatting>
  <conditionalFormatting sqref="R28:AE28">
    <cfRule type="cellIs" dxfId="100" priority="48" operator="notEqual">
      <formula>""</formula>
    </cfRule>
    <cfRule type="expression" dxfId="99" priority="49">
      <formula>$AM$27=2</formula>
    </cfRule>
  </conditionalFormatting>
  <conditionalFormatting sqref="G20 N20 U20">
    <cfRule type="expression" dxfId="98" priority="45">
      <formula>$AM$20=0</formula>
    </cfRule>
  </conditionalFormatting>
  <conditionalFormatting sqref="G29 N29 U29">
    <cfRule type="expression" dxfId="97" priority="44">
      <formula>$AM$29=0</formula>
    </cfRule>
  </conditionalFormatting>
  <conditionalFormatting sqref="R31:AE31">
    <cfRule type="cellIs" dxfId="96" priority="40" operator="notEqual">
      <formula>""</formula>
    </cfRule>
    <cfRule type="expression" dxfId="95" priority="41">
      <formula>$AM$30=2</formula>
    </cfRule>
  </conditionalFormatting>
  <conditionalFormatting sqref="G30:AL31">
    <cfRule type="expression" dxfId="94" priority="39">
      <formula>$AM$29&gt;1</formula>
    </cfRule>
  </conditionalFormatting>
  <conditionalFormatting sqref="G32:I32 Q32:R32 W32:AC32">
    <cfRule type="expression" dxfId="93" priority="38">
      <formula>$AM$32=0</formula>
    </cfRule>
  </conditionalFormatting>
  <conditionalFormatting sqref="AG32:AL32">
    <cfRule type="cellIs" dxfId="92" priority="36" operator="notEqual">
      <formula>""</formula>
    </cfRule>
    <cfRule type="expression" dxfId="91" priority="37">
      <formula>$AM$32=3</formula>
    </cfRule>
  </conditionalFormatting>
  <conditionalFormatting sqref="G34:L34">
    <cfRule type="expression" dxfId="90" priority="35">
      <formula>$AM$34=0</formula>
    </cfRule>
  </conditionalFormatting>
  <conditionalFormatting sqref="Q33:AL34">
    <cfRule type="cellIs" dxfId="89" priority="33" operator="notEqual">
      <formula>""</formula>
    </cfRule>
    <cfRule type="expression" dxfId="88" priority="34">
      <formula>$AM$34=1</formula>
    </cfRule>
  </conditionalFormatting>
  <conditionalFormatting sqref="M33:AL34">
    <cfRule type="expression" dxfId="87" priority="32">
      <formula>$AM$34=2</formula>
    </cfRule>
  </conditionalFormatting>
  <conditionalFormatting sqref="H30:AL31">
    <cfRule type="expression" dxfId="86" priority="42">
      <formula>$AM$30&gt;0</formula>
    </cfRule>
    <cfRule type="expression" dxfId="85" priority="43">
      <formula>$AM$29=1</formula>
    </cfRule>
  </conditionalFormatting>
  <conditionalFormatting sqref="U5">
    <cfRule type="expression" dxfId="84" priority="28">
      <formula>$AM$5&gt;0</formula>
    </cfRule>
  </conditionalFormatting>
  <conditionalFormatting sqref="G3:AL4">
    <cfRule type="cellIs" dxfId="83" priority="27" operator="notEqual">
      <formula>""</formula>
    </cfRule>
  </conditionalFormatting>
  <conditionalFormatting sqref="G6:T6 G7:G8">
    <cfRule type="cellIs" dxfId="82" priority="26" operator="notEqual">
      <formula>""</formula>
    </cfRule>
  </conditionalFormatting>
  <conditionalFormatting sqref="Y6">
    <cfRule type="cellIs" dxfId="81" priority="25" operator="notEqual">
      <formula>""</formula>
    </cfRule>
  </conditionalFormatting>
  <conditionalFormatting sqref="Y7">
    <cfRule type="cellIs" dxfId="80" priority="24" operator="notEqual">
      <formula>""</formula>
    </cfRule>
  </conditionalFormatting>
  <conditionalFormatting sqref="J9:Q10 V9:AC10">
    <cfRule type="cellIs" dxfId="79" priority="23" operator="notEqual">
      <formula>""</formula>
    </cfRule>
  </conditionalFormatting>
  <conditionalFormatting sqref="J13">
    <cfRule type="expression" dxfId="78" priority="22">
      <formula>AND($AM$12=1,$J$13="")</formula>
    </cfRule>
  </conditionalFormatting>
  <conditionalFormatting sqref="J13:P13">
    <cfRule type="expression" priority="21">
      <formula>AND($J$13&lt;&gt;"",$AM$12=1)</formula>
    </cfRule>
  </conditionalFormatting>
  <conditionalFormatting sqref="K15:AL19">
    <cfRule type="cellIs" dxfId="77" priority="20" operator="notEqual">
      <formula>""</formula>
    </cfRule>
  </conditionalFormatting>
  <conditionalFormatting sqref="G26:I26 L26:N26">
    <cfRule type="cellIs" dxfId="76" priority="18" operator="notEqual">
      <formula>""</formula>
    </cfRule>
  </conditionalFormatting>
  <conditionalFormatting sqref="G26:N26">
    <cfRule type="expression" dxfId="75" priority="17">
      <formula>OR($AM$20=3,$AM$20=2)</formula>
    </cfRule>
  </conditionalFormatting>
  <conditionalFormatting sqref="G26:I26 L26:N26">
    <cfRule type="expression" dxfId="74" priority="19">
      <formula>$AM$20=1</formula>
    </cfRule>
  </conditionalFormatting>
  <conditionalFormatting sqref="AD26:AE26">
    <cfRule type="expression" dxfId="73" priority="14">
      <formula>OR($AM$20=3,$AM$20=2)</formula>
    </cfRule>
  </conditionalFormatting>
  <conditionalFormatting sqref="AD26:AE26">
    <cfRule type="cellIs" dxfId="72" priority="15" operator="notEqual">
      <formula>""</formula>
    </cfRule>
    <cfRule type="expression" dxfId="71" priority="16">
      <formula>AND($AM$20=1,$AM$26=4)</formula>
    </cfRule>
  </conditionalFormatting>
  <conditionalFormatting sqref="Q36:AL36 Q35 AC35">
    <cfRule type="cellIs" dxfId="70" priority="13" operator="notEqual">
      <formula>""</formula>
    </cfRule>
  </conditionalFormatting>
  <conditionalFormatting sqref="C40:D40 F40:G40 I40:J40 O41:AL42 O40 Z40 AB40">
    <cfRule type="cellIs" dxfId="69" priority="12" operator="notEqual">
      <formula>""</formula>
    </cfRule>
  </conditionalFormatting>
  <conditionalFormatting sqref="Z22:AC22 AF22:AG22 AJ22 AL22">
    <cfRule type="expression" dxfId="68" priority="10">
      <formula>AND($AM$20=1,$AM$21&gt;0)</formula>
    </cfRule>
    <cfRule type="expression" dxfId="67" priority="11">
      <formula>AND($AM$20=1,$AM$21=0)</formula>
    </cfRule>
  </conditionalFormatting>
  <conditionalFormatting sqref="Z22:AC22 AF22:AG22 AJ22 AL22">
    <cfRule type="expression" dxfId="66" priority="4">
      <formula>OR($AM$20=3,$AM$20=2)</formula>
    </cfRule>
  </conditionalFormatting>
  <conditionalFormatting sqref="AC22">
    <cfRule type="expression" dxfId="65" priority="6">
      <formula>OR($AM$21=1,$AM$21=3,$AM$21=6)</formula>
    </cfRule>
    <cfRule type="expression" dxfId="64" priority="7">
      <formula>$AC$22&lt;&gt;""</formula>
    </cfRule>
    <cfRule type="expression" dxfId="63" priority="8">
      <formula>AND($AM$20=1,$AM$21&lt;9)</formula>
    </cfRule>
  </conditionalFormatting>
  <conditionalFormatting sqref="AJ22:AK22">
    <cfRule type="expression" dxfId="62" priority="5">
      <formula>$AI$22&lt;&gt;""</formula>
    </cfRule>
    <cfRule type="expression" dxfId="61" priority="9">
      <formula>$AM$21=3</formula>
    </cfRule>
  </conditionalFormatting>
  <dataValidations count="5">
    <dataValidation type="time" showInputMessage="1" showErrorMessage="1" errorTitle="時刻のみ入力可能です" error="hh:mm形式で入力してください" promptTitle="hh:mm形式で入力してください" sqref="J10:Q10 V10:AC10" xr:uid="{927B89ED-F7D3-4EFE-BD47-31A611CFF74D}">
      <formula1>0</formula1>
      <formula2>0.999988425925926</formula2>
    </dataValidation>
    <dataValidation type="date" operator="greaterThanOrEqual" showInputMessage="1" showErrorMessage="1" errorTitle="日付のみ入力可能です" error="yyyy/mm/dd形式で入力してください" promptTitle="yyyy/mm/dd形式で入力してください" sqref="J9:Q9 V9:AC9" xr:uid="{6407C7FD-A21D-4BA6-AF45-9B3BCE9DFA0B}">
      <formula1>36526</formula1>
    </dataValidation>
    <dataValidation operator="greaterThanOrEqual" errorTitle="日付のみ入力可能です" error="yyyy/mm/dd形式で入力してください" promptTitle="yyyy/mm/dd形式で入力してください" sqref="G9:G10 S9:S10" xr:uid="{E5184DDE-6A08-4E43-B3DA-D46AED4BF789}"/>
    <dataValidation type="list" allowBlank="1" showInputMessage="1" showErrorMessage="1" sqref="L29 G28:G31 G13:G25 L31 K34 L14:L25" xr:uid="{91CA6559-EE20-44C3-B1B6-76FAF5650BBF}">
      <formula1>"□,■"</formula1>
    </dataValidation>
    <dataValidation type="list" allowBlank="1" showInputMessage="1" showErrorMessage="1" sqref="AJ22:AK22" xr:uid="{829FB12E-8B09-4B01-9CDA-E8C83214F336}">
      <formula1>"有,無"</formula1>
    </dataValidation>
  </dataValidations>
  <hyperlinks>
    <hyperlink ref="Q36" r:id="rId1" xr:uid="{02CF24E2-EF42-48B0-8724-4BC9EDD84F5F}"/>
  </hyperlinks>
  <pageMargins left="0.43307086614173229" right="0.35433070866141736" top="0.6692913385826772" bottom="0.43307086614173229" header="0.31496062992125984" footer="0.31496062992125984"/>
  <pageSetup paperSize="9" scale="96"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Option Button 1">
              <controlPr defaultSize="0" autoFill="0" autoLine="0" autoPict="0">
                <anchor moveWithCells="1">
                  <from>
                    <xdr:col>6</xdr:col>
                    <xdr:colOff>0</xdr:colOff>
                    <xdr:row>19</xdr:row>
                    <xdr:rowOff>38100</xdr:rowOff>
                  </from>
                  <to>
                    <xdr:col>10</xdr:col>
                    <xdr:colOff>0</xdr:colOff>
                    <xdr:row>19</xdr:row>
                    <xdr:rowOff>276225</xdr:rowOff>
                  </to>
                </anchor>
              </controlPr>
            </control>
          </mc:Choice>
        </mc:AlternateContent>
        <mc:AlternateContent xmlns:mc="http://schemas.openxmlformats.org/markup-compatibility/2006">
          <mc:Choice Requires="x14">
            <control shapeId="32770" r:id="rId6" name="Option Button 2">
              <controlPr defaultSize="0" autoFill="0" autoLine="0" autoPict="0">
                <anchor moveWithCells="1">
                  <from>
                    <xdr:col>13</xdr:col>
                    <xdr:colOff>0</xdr:colOff>
                    <xdr:row>19</xdr:row>
                    <xdr:rowOff>38100</xdr:rowOff>
                  </from>
                  <to>
                    <xdr:col>17</xdr:col>
                    <xdr:colOff>0</xdr:colOff>
                    <xdr:row>19</xdr:row>
                    <xdr:rowOff>276225</xdr:rowOff>
                  </to>
                </anchor>
              </controlPr>
            </control>
          </mc:Choice>
        </mc:AlternateContent>
        <mc:AlternateContent xmlns:mc="http://schemas.openxmlformats.org/markup-compatibility/2006">
          <mc:Choice Requires="x14">
            <control shapeId="32771" r:id="rId7" name="Option Button 3">
              <controlPr defaultSize="0" autoFill="0" autoLine="0" autoPict="0">
                <anchor moveWithCells="1">
                  <from>
                    <xdr:col>20</xdr:col>
                    <xdr:colOff>0</xdr:colOff>
                    <xdr:row>19</xdr:row>
                    <xdr:rowOff>38100</xdr:rowOff>
                  </from>
                  <to>
                    <xdr:col>24</xdr:col>
                    <xdr:colOff>0</xdr:colOff>
                    <xdr:row>19</xdr:row>
                    <xdr:rowOff>276225</xdr:rowOff>
                  </to>
                </anchor>
              </controlPr>
            </control>
          </mc:Choice>
        </mc:AlternateContent>
        <mc:AlternateContent xmlns:mc="http://schemas.openxmlformats.org/markup-compatibility/2006">
          <mc:Choice Requires="x14">
            <control shapeId="32772" r:id="rId8" name="Option Button 4">
              <controlPr defaultSize="0" autoFill="0" autoLine="0" autoPict="0">
                <anchor moveWithCells="1">
                  <from>
                    <xdr:col>6</xdr:col>
                    <xdr:colOff>0</xdr:colOff>
                    <xdr:row>28</xdr:row>
                    <xdr:rowOff>19050</xdr:rowOff>
                  </from>
                  <to>
                    <xdr:col>10</xdr:col>
                    <xdr:colOff>0</xdr:colOff>
                    <xdr:row>28</xdr:row>
                    <xdr:rowOff>257175</xdr:rowOff>
                  </to>
                </anchor>
              </controlPr>
            </control>
          </mc:Choice>
        </mc:AlternateContent>
        <mc:AlternateContent xmlns:mc="http://schemas.openxmlformats.org/markup-compatibility/2006">
          <mc:Choice Requires="x14">
            <control shapeId="32773" r:id="rId9" name="Option Button 5">
              <controlPr defaultSize="0" autoFill="0" autoLine="0" autoPict="0">
                <anchor moveWithCells="1">
                  <from>
                    <xdr:col>13</xdr:col>
                    <xdr:colOff>0</xdr:colOff>
                    <xdr:row>28</xdr:row>
                    <xdr:rowOff>19050</xdr:rowOff>
                  </from>
                  <to>
                    <xdr:col>17</xdr:col>
                    <xdr:colOff>0</xdr:colOff>
                    <xdr:row>28</xdr:row>
                    <xdr:rowOff>257175</xdr:rowOff>
                  </to>
                </anchor>
              </controlPr>
            </control>
          </mc:Choice>
        </mc:AlternateContent>
        <mc:AlternateContent xmlns:mc="http://schemas.openxmlformats.org/markup-compatibility/2006">
          <mc:Choice Requires="x14">
            <control shapeId="32774" r:id="rId10" name="Option Button 6">
              <controlPr defaultSize="0" autoFill="0" autoLine="0" autoPict="0">
                <anchor moveWithCells="1">
                  <from>
                    <xdr:col>20</xdr:col>
                    <xdr:colOff>0</xdr:colOff>
                    <xdr:row>28</xdr:row>
                    <xdr:rowOff>19050</xdr:rowOff>
                  </from>
                  <to>
                    <xdr:col>24</xdr:col>
                    <xdr:colOff>0</xdr:colOff>
                    <xdr:row>28</xdr:row>
                    <xdr:rowOff>257175</xdr:rowOff>
                  </to>
                </anchor>
              </controlPr>
            </control>
          </mc:Choice>
        </mc:AlternateContent>
        <mc:AlternateContent xmlns:mc="http://schemas.openxmlformats.org/markup-compatibility/2006">
          <mc:Choice Requires="x14">
            <control shapeId="32775" r:id="rId11" name="Option Button 7">
              <controlPr defaultSize="0" autoFill="0" autoLine="0" autoPict="0">
                <anchor moveWithCells="1">
                  <from>
                    <xdr:col>5</xdr:col>
                    <xdr:colOff>190500</xdr:colOff>
                    <xdr:row>11</xdr:row>
                    <xdr:rowOff>19050</xdr:rowOff>
                  </from>
                  <to>
                    <xdr:col>7</xdr:col>
                    <xdr:colOff>104775</xdr:colOff>
                    <xdr:row>12</xdr:row>
                    <xdr:rowOff>0</xdr:rowOff>
                  </to>
                </anchor>
              </controlPr>
            </control>
          </mc:Choice>
        </mc:AlternateContent>
        <mc:AlternateContent xmlns:mc="http://schemas.openxmlformats.org/markup-compatibility/2006">
          <mc:Choice Requires="x14">
            <control shapeId="32776" r:id="rId12" name="Option Button 8">
              <controlPr defaultSize="0" autoFill="0" autoLine="0" autoPict="0">
                <anchor moveWithCells="1">
                  <from>
                    <xdr:col>12</xdr:col>
                    <xdr:colOff>0</xdr:colOff>
                    <xdr:row>11</xdr:row>
                    <xdr:rowOff>19050</xdr:rowOff>
                  </from>
                  <to>
                    <xdr:col>13</xdr:col>
                    <xdr:colOff>104775</xdr:colOff>
                    <xdr:row>12</xdr:row>
                    <xdr:rowOff>0</xdr:rowOff>
                  </to>
                </anchor>
              </controlPr>
            </control>
          </mc:Choice>
        </mc:AlternateContent>
        <mc:AlternateContent xmlns:mc="http://schemas.openxmlformats.org/markup-compatibility/2006">
          <mc:Choice Requires="x14">
            <control shapeId="32777" r:id="rId13" name="Group Box 9">
              <controlPr defaultSize="0" autoFill="0" autoPict="0">
                <anchor moveWithCells="1">
                  <from>
                    <xdr:col>5</xdr:col>
                    <xdr:colOff>114300</xdr:colOff>
                    <xdr:row>11</xdr:row>
                    <xdr:rowOff>9525</xdr:rowOff>
                  </from>
                  <to>
                    <xdr:col>16</xdr:col>
                    <xdr:colOff>9525</xdr:colOff>
                    <xdr:row>12</xdr:row>
                    <xdr:rowOff>38100</xdr:rowOff>
                  </to>
                </anchor>
              </controlPr>
            </control>
          </mc:Choice>
        </mc:AlternateContent>
        <mc:AlternateContent xmlns:mc="http://schemas.openxmlformats.org/markup-compatibility/2006">
          <mc:Choice Requires="x14">
            <control shapeId="32778" r:id="rId14" name="Group Box 10">
              <controlPr defaultSize="0" autoFill="0" autoPict="0">
                <anchor moveWithCells="1">
                  <from>
                    <xdr:col>5</xdr:col>
                    <xdr:colOff>85725</xdr:colOff>
                    <xdr:row>19</xdr:row>
                    <xdr:rowOff>19050</xdr:rowOff>
                  </from>
                  <to>
                    <xdr:col>24</xdr:col>
                    <xdr:colOff>133350</xdr:colOff>
                    <xdr:row>19</xdr:row>
                    <xdr:rowOff>304800</xdr:rowOff>
                  </to>
                </anchor>
              </controlPr>
            </control>
          </mc:Choice>
        </mc:AlternateContent>
        <mc:AlternateContent xmlns:mc="http://schemas.openxmlformats.org/markup-compatibility/2006">
          <mc:Choice Requires="x14">
            <control shapeId="32779" r:id="rId15" name="Group Box 11">
              <controlPr defaultSize="0" autoFill="0" autoPict="0">
                <anchor moveWithCells="1">
                  <from>
                    <xdr:col>5</xdr:col>
                    <xdr:colOff>123825</xdr:colOff>
                    <xdr:row>19</xdr:row>
                    <xdr:rowOff>285750</xdr:rowOff>
                  </from>
                  <to>
                    <xdr:col>37</xdr:col>
                    <xdr:colOff>247650</xdr:colOff>
                    <xdr:row>24</xdr:row>
                    <xdr:rowOff>152400</xdr:rowOff>
                  </to>
                </anchor>
              </controlPr>
            </control>
          </mc:Choice>
        </mc:AlternateContent>
        <mc:AlternateContent xmlns:mc="http://schemas.openxmlformats.org/markup-compatibility/2006">
          <mc:Choice Requires="x14">
            <control shapeId="32780" r:id="rId16" name="Option Button 12">
              <controlPr defaultSize="0" autoFill="0" autoLine="0" autoPict="0">
                <anchor moveWithCells="1">
                  <from>
                    <xdr:col>7</xdr:col>
                    <xdr:colOff>9525</xdr:colOff>
                    <xdr:row>20</xdr:row>
                    <xdr:rowOff>19050</xdr:rowOff>
                  </from>
                  <to>
                    <xdr:col>8</xdr:col>
                    <xdr:colOff>114300</xdr:colOff>
                    <xdr:row>21</xdr:row>
                    <xdr:rowOff>38100</xdr:rowOff>
                  </to>
                </anchor>
              </controlPr>
            </control>
          </mc:Choice>
        </mc:AlternateContent>
        <mc:AlternateContent xmlns:mc="http://schemas.openxmlformats.org/markup-compatibility/2006">
          <mc:Choice Requires="x14">
            <control shapeId="32781" r:id="rId17" name="Option Button 13">
              <controlPr defaultSize="0" autoFill="0" autoLine="0" autoPict="0">
                <anchor moveWithCells="1">
                  <from>
                    <xdr:col>11</xdr:col>
                    <xdr:colOff>9525</xdr:colOff>
                    <xdr:row>20</xdr:row>
                    <xdr:rowOff>19050</xdr:rowOff>
                  </from>
                  <to>
                    <xdr:col>12</xdr:col>
                    <xdr:colOff>114300</xdr:colOff>
                    <xdr:row>21</xdr:row>
                    <xdr:rowOff>38100</xdr:rowOff>
                  </to>
                </anchor>
              </controlPr>
            </control>
          </mc:Choice>
        </mc:AlternateContent>
        <mc:AlternateContent xmlns:mc="http://schemas.openxmlformats.org/markup-compatibility/2006">
          <mc:Choice Requires="x14">
            <control shapeId="32782" r:id="rId18" name="Group Box 14">
              <controlPr defaultSize="0" autoFill="0" autoPict="0">
                <anchor moveWithCells="1">
                  <from>
                    <xdr:col>5</xdr:col>
                    <xdr:colOff>123825</xdr:colOff>
                    <xdr:row>27</xdr:row>
                    <xdr:rowOff>190500</xdr:rowOff>
                  </from>
                  <to>
                    <xdr:col>25</xdr:col>
                    <xdr:colOff>190500</xdr:colOff>
                    <xdr:row>29</xdr:row>
                    <xdr:rowOff>19050</xdr:rowOff>
                  </to>
                </anchor>
              </controlPr>
            </control>
          </mc:Choice>
        </mc:AlternateContent>
        <mc:AlternateContent xmlns:mc="http://schemas.openxmlformats.org/markup-compatibility/2006">
          <mc:Choice Requires="x14">
            <control shapeId="32783" r:id="rId19" name="Option Button 15">
              <controlPr defaultSize="0" autoFill="0" autoLine="0" autoPict="0">
                <anchor moveWithCells="1">
                  <from>
                    <xdr:col>7</xdr:col>
                    <xdr:colOff>9525</xdr:colOff>
                    <xdr:row>30</xdr:row>
                    <xdr:rowOff>0</xdr:rowOff>
                  </from>
                  <to>
                    <xdr:col>8</xdr:col>
                    <xdr:colOff>114300</xdr:colOff>
                    <xdr:row>31</xdr:row>
                    <xdr:rowOff>9525</xdr:rowOff>
                  </to>
                </anchor>
              </controlPr>
            </control>
          </mc:Choice>
        </mc:AlternateContent>
        <mc:AlternateContent xmlns:mc="http://schemas.openxmlformats.org/markup-compatibility/2006">
          <mc:Choice Requires="x14">
            <control shapeId="32784" r:id="rId20" name="Group Box 16">
              <controlPr defaultSize="0" autoFill="0" autoPict="0">
                <anchor moveWithCells="1">
                  <from>
                    <xdr:col>5</xdr:col>
                    <xdr:colOff>133350</xdr:colOff>
                    <xdr:row>29</xdr:row>
                    <xdr:rowOff>0</xdr:rowOff>
                  </from>
                  <to>
                    <xdr:col>9</xdr:col>
                    <xdr:colOff>114300</xdr:colOff>
                    <xdr:row>31</xdr:row>
                    <xdr:rowOff>19050</xdr:rowOff>
                  </to>
                </anchor>
              </controlPr>
            </control>
          </mc:Choice>
        </mc:AlternateContent>
        <mc:AlternateContent xmlns:mc="http://schemas.openxmlformats.org/markup-compatibility/2006">
          <mc:Choice Requires="x14">
            <control shapeId="32785" r:id="rId21" name="Option Button 17">
              <controlPr defaultSize="0" autoFill="0" autoLine="0" autoPict="0">
                <anchor moveWithCells="1">
                  <from>
                    <xdr:col>7</xdr:col>
                    <xdr:colOff>9525</xdr:colOff>
                    <xdr:row>29</xdr:row>
                    <xdr:rowOff>9525</xdr:rowOff>
                  </from>
                  <to>
                    <xdr:col>8</xdr:col>
                    <xdr:colOff>114300</xdr:colOff>
                    <xdr:row>30</xdr:row>
                    <xdr:rowOff>19050</xdr:rowOff>
                  </to>
                </anchor>
              </controlPr>
            </control>
          </mc:Choice>
        </mc:AlternateContent>
        <mc:AlternateContent xmlns:mc="http://schemas.openxmlformats.org/markup-compatibility/2006">
          <mc:Choice Requires="x14">
            <control shapeId="32786" r:id="rId22" name="Option Button 18">
              <controlPr defaultSize="0" autoFill="0" autoLine="0" autoPict="0">
                <anchor moveWithCells="1">
                  <from>
                    <xdr:col>6</xdr:col>
                    <xdr:colOff>9525</xdr:colOff>
                    <xdr:row>31</xdr:row>
                    <xdr:rowOff>19050</xdr:rowOff>
                  </from>
                  <to>
                    <xdr:col>7</xdr:col>
                    <xdr:colOff>104775</xdr:colOff>
                    <xdr:row>31</xdr:row>
                    <xdr:rowOff>266700</xdr:rowOff>
                  </to>
                </anchor>
              </controlPr>
            </control>
          </mc:Choice>
        </mc:AlternateContent>
        <mc:AlternateContent xmlns:mc="http://schemas.openxmlformats.org/markup-compatibility/2006">
          <mc:Choice Requires="x14">
            <control shapeId="32787" r:id="rId23" name="Option Button 19">
              <controlPr defaultSize="0" autoFill="0" autoLine="0" autoPict="0">
                <anchor moveWithCells="1">
                  <from>
                    <xdr:col>16</xdr:col>
                    <xdr:colOff>9525</xdr:colOff>
                    <xdr:row>31</xdr:row>
                    <xdr:rowOff>19050</xdr:rowOff>
                  </from>
                  <to>
                    <xdr:col>17</xdr:col>
                    <xdr:colOff>104775</xdr:colOff>
                    <xdr:row>31</xdr:row>
                    <xdr:rowOff>266700</xdr:rowOff>
                  </to>
                </anchor>
              </controlPr>
            </control>
          </mc:Choice>
        </mc:AlternateContent>
        <mc:AlternateContent xmlns:mc="http://schemas.openxmlformats.org/markup-compatibility/2006">
          <mc:Choice Requires="x14">
            <control shapeId="32788" r:id="rId24" name="Option Button 20">
              <controlPr defaultSize="0" autoFill="0" autoLine="0" autoPict="0">
                <anchor moveWithCells="1">
                  <from>
                    <xdr:col>22</xdr:col>
                    <xdr:colOff>9525</xdr:colOff>
                    <xdr:row>31</xdr:row>
                    <xdr:rowOff>19050</xdr:rowOff>
                  </from>
                  <to>
                    <xdr:col>23</xdr:col>
                    <xdr:colOff>104775</xdr:colOff>
                    <xdr:row>31</xdr:row>
                    <xdr:rowOff>266700</xdr:rowOff>
                  </to>
                </anchor>
              </controlPr>
            </control>
          </mc:Choice>
        </mc:AlternateContent>
        <mc:AlternateContent xmlns:mc="http://schemas.openxmlformats.org/markup-compatibility/2006">
          <mc:Choice Requires="x14">
            <control shapeId="32789" r:id="rId25" name="Group Box 21">
              <controlPr defaultSize="0" autoFill="0" autoPict="0">
                <anchor moveWithCells="1">
                  <from>
                    <xdr:col>5</xdr:col>
                    <xdr:colOff>95250</xdr:colOff>
                    <xdr:row>31</xdr:row>
                    <xdr:rowOff>9525</xdr:rowOff>
                  </from>
                  <to>
                    <xdr:col>28</xdr:col>
                    <xdr:colOff>142875</xdr:colOff>
                    <xdr:row>32</xdr:row>
                    <xdr:rowOff>0</xdr:rowOff>
                  </to>
                </anchor>
              </controlPr>
            </control>
          </mc:Choice>
        </mc:AlternateContent>
        <mc:AlternateContent xmlns:mc="http://schemas.openxmlformats.org/markup-compatibility/2006">
          <mc:Choice Requires="x14">
            <control shapeId="32790" r:id="rId26" name="Check Box 22">
              <controlPr defaultSize="0" autoFill="0" autoLine="0" autoPict="0">
                <anchor moveWithCells="1">
                  <from>
                    <xdr:col>9</xdr:col>
                    <xdr:colOff>190500</xdr:colOff>
                    <xdr:row>31</xdr:row>
                    <xdr:rowOff>28575</xdr:rowOff>
                  </from>
                  <to>
                    <xdr:col>11</xdr:col>
                    <xdr:colOff>104775</xdr:colOff>
                    <xdr:row>31</xdr:row>
                    <xdr:rowOff>276225</xdr:rowOff>
                  </to>
                </anchor>
              </controlPr>
            </control>
          </mc:Choice>
        </mc:AlternateContent>
        <mc:AlternateContent xmlns:mc="http://schemas.openxmlformats.org/markup-compatibility/2006">
          <mc:Choice Requires="x14">
            <control shapeId="32791" r:id="rId27" name="Option Button 23">
              <controlPr defaultSize="0" autoFill="0" autoLine="0" autoPict="0">
                <anchor moveWithCells="1">
                  <from>
                    <xdr:col>6</xdr:col>
                    <xdr:colOff>19050</xdr:colOff>
                    <xdr:row>33</xdr:row>
                    <xdr:rowOff>28575</xdr:rowOff>
                  </from>
                  <to>
                    <xdr:col>7</xdr:col>
                    <xdr:colOff>38100</xdr:colOff>
                    <xdr:row>33</xdr:row>
                    <xdr:rowOff>276225</xdr:rowOff>
                  </to>
                </anchor>
              </controlPr>
            </control>
          </mc:Choice>
        </mc:AlternateContent>
        <mc:AlternateContent xmlns:mc="http://schemas.openxmlformats.org/markup-compatibility/2006">
          <mc:Choice Requires="x14">
            <control shapeId="32792" r:id="rId28" name="Option Button 24">
              <controlPr defaultSize="0" autoFill="0" autoLine="0" autoPict="0">
                <anchor moveWithCells="1">
                  <from>
                    <xdr:col>9</xdr:col>
                    <xdr:colOff>19050</xdr:colOff>
                    <xdr:row>33</xdr:row>
                    <xdr:rowOff>28575</xdr:rowOff>
                  </from>
                  <to>
                    <xdr:col>10</xdr:col>
                    <xdr:colOff>38100</xdr:colOff>
                    <xdr:row>33</xdr:row>
                    <xdr:rowOff>276225</xdr:rowOff>
                  </to>
                </anchor>
              </controlPr>
            </control>
          </mc:Choice>
        </mc:AlternateContent>
        <mc:AlternateContent xmlns:mc="http://schemas.openxmlformats.org/markup-compatibility/2006">
          <mc:Choice Requires="x14">
            <control shapeId="32793" r:id="rId29" name="Group Box 25">
              <controlPr defaultSize="0" autoFill="0" autoPict="0">
                <anchor moveWithCells="1">
                  <from>
                    <xdr:col>5</xdr:col>
                    <xdr:colOff>85725</xdr:colOff>
                    <xdr:row>32</xdr:row>
                    <xdr:rowOff>190500</xdr:rowOff>
                  </from>
                  <to>
                    <xdr:col>12</xdr:col>
                    <xdr:colOff>85725</xdr:colOff>
                    <xdr:row>34</xdr:row>
                    <xdr:rowOff>76200</xdr:rowOff>
                  </to>
                </anchor>
              </controlPr>
            </control>
          </mc:Choice>
        </mc:AlternateContent>
        <mc:AlternateContent xmlns:mc="http://schemas.openxmlformats.org/markup-compatibility/2006">
          <mc:Choice Requires="x14">
            <control shapeId="32794" r:id="rId30" name="Option Button 26">
              <controlPr defaultSize="0" autoFill="0" autoLine="0" autoPict="0">
                <anchor moveWithCells="1">
                  <from>
                    <xdr:col>17</xdr:col>
                    <xdr:colOff>9525</xdr:colOff>
                    <xdr:row>20</xdr:row>
                    <xdr:rowOff>19050</xdr:rowOff>
                  </from>
                  <to>
                    <xdr:col>18</xdr:col>
                    <xdr:colOff>114300</xdr:colOff>
                    <xdr:row>21</xdr:row>
                    <xdr:rowOff>38100</xdr:rowOff>
                  </to>
                </anchor>
              </controlPr>
            </control>
          </mc:Choice>
        </mc:AlternateContent>
        <mc:AlternateContent xmlns:mc="http://schemas.openxmlformats.org/markup-compatibility/2006">
          <mc:Choice Requires="x14">
            <control shapeId="32795" r:id="rId31" name="Option Button 27">
              <controlPr defaultSize="0" autoFill="0" autoLine="0" autoPict="0">
                <anchor moveWithCells="1">
                  <from>
                    <xdr:col>21</xdr:col>
                    <xdr:colOff>9525</xdr:colOff>
                    <xdr:row>20</xdr:row>
                    <xdr:rowOff>19050</xdr:rowOff>
                  </from>
                  <to>
                    <xdr:col>22</xdr:col>
                    <xdr:colOff>114300</xdr:colOff>
                    <xdr:row>21</xdr:row>
                    <xdr:rowOff>38100</xdr:rowOff>
                  </to>
                </anchor>
              </controlPr>
            </control>
          </mc:Choice>
        </mc:AlternateContent>
        <mc:AlternateContent xmlns:mc="http://schemas.openxmlformats.org/markup-compatibility/2006">
          <mc:Choice Requires="x14">
            <control shapeId="32796" r:id="rId32" name="Option Button 28">
              <controlPr defaultSize="0" autoFill="0" autoLine="0" autoPict="0">
                <anchor moveWithCells="1">
                  <from>
                    <xdr:col>25</xdr:col>
                    <xdr:colOff>9525</xdr:colOff>
                    <xdr:row>20</xdr:row>
                    <xdr:rowOff>19050</xdr:rowOff>
                  </from>
                  <to>
                    <xdr:col>26</xdr:col>
                    <xdr:colOff>114300</xdr:colOff>
                    <xdr:row>21</xdr:row>
                    <xdr:rowOff>38100</xdr:rowOff>
                  </to>
                </anchor>
              </controlPr>
            </control>
          </mc:Choice>
        </mc:AlternateContent>
        <mc:AlternateContent xmlns:mc="http://schemas.openxmlformats.org/markup-compatibility/2006">
          <mc:Choice Requires="x14">
            <control shapeId="32797" r:id="rId33" name="Option Button 29">
              <controlPr defaultSize="0" autoFill="0" autoLine="0" autoPict="0">
                <anchor moveWithCells="1">
                  <from>
                    <xdr:col>29</xdr:col>
                    <xdr:colOff>9525</xdr:colOff>
                    <xdr:row>20</xdr:row>
                    <xdr:rowOff>19050</xdr:rowOff>
                  </from>
                  <to>
                    <xdr:col>30</xdr:col>
                    <xdr:colOff>114300</xdr:colOff>
                    <xdr:row>21</xdr:row>
                    <xdr:rowOff>38100</xdr:rowOff>
                  </to>
                </anchor>
              </controlPr>
            </control>
          </mc:Choice>
        </mc:AlternateContent>
        <mc:AlternateContent xmlns:mc="http://schemas.openxmlformats.org/markup-compatibility/2006">
          <mc:Choice Requires="x14">
            <control shapeId="32798" r:id="rId34" name="Option Button 30">
              <controlPr defaultSize="0" autoFill="0" autoLine="0" autoPict="0">
                <anchor moveWithCells="1">
                  <from>
                    <xdr:col>33</xdr:col>
                    <xdr:colOff>9525</xdr:colOff>
                    <xdr:row>20</xdr:row>
                    <xdr:rowOff>19050</xdr:rowOff>
                  </from>
                  <to>
                    <xdr:col>34</xdr:col>
                    <xdr:colOff>114300</xdr:colOff>
                    <xdr:row>21</xdr:row>
                    <xdr:rowOff>38100</xdr:rowOff>
                  </to>
                </anchor>
              </controlPr>
            </control>
          </mc:Choice>
        </mc:AlternateContent>
        <mc:AlternateContent xmlns:mc="http://schemas.openxmlformats.org/markup-compatibility/2006">
          <mc:Choice Requires="x14">
            <control shapeId="32799" r:id="rId35" name="Option Button 31">
              <controlPr defaultSize="0" autoFill="0" autoLine="0" autoPict="0">
                <anchor moveWithCells="1">
                  <from>
                    <xdr:col>7</xdr:col>
                    <xdr:colOff>9525</xdr:colOff>
                    <xdr:row>21</xdr:row>
                    <xdr:rowOff>19050</xdr:rowOff>
                  </from>
                  <to>
                    <xdr:col>8</xdr:col>
                    <xdr:colOff>114300</xdr:colOff>
                    <xdr:row>22</xdr:row>
                    <xdr:rowOff>38100</xdr:rowOff>
                  </to>
                </anchor>
              </controlPr>
            </control>
          </mc:Choice>
        </mc:AlternateContent>
        <mc:AlternateContent xmlns:mc="http://schemas.openxmlformats.org/markup-compatibility/2006">
          <mc:Choice Requires="x14">
            <control shapeId="32800" r:id="rId36" name="Option Button 32">
              <controlPr defaultSize="0" autoFill="0" autoLine="0" autoPict="0">
                <anchor moveWithCells="1">
                  <from>
                    <xdr:col>12</xdr:col>
                    <xdr:colOff>9525</xdr:colOff>
                    <xdr:row>21</xdr:row>
                    <xdr:rowOff>19050</xdr:rowOff>
                  </from>
                  <to>
                    <xdr:col>13</xdr:col>
                    <xdr:colOff>114300</xdr:colOff>
                    <xdr:row>22</xdr:row>
                    <xdr:rowOff>38100</xdr:rowOff>
                  </to>
                </anchor>
              </controlPr>
            </control>
          </mc:Choice>
        </mc:AlternateContent>
        <mc:AlternateContent xmlns:mc="http://schemas.openxmlformats.org/markup-compatibility/2006">
          <mc:Choice Requires="x14">
            <control shapeId="32801" r:id="rId37" name="Option Button 33">
              <controlPr defaultSize="0" autoFill="0" autoLine="0" autoPict="0">
                <anchor moveWithCells="1">
                  <from>
                    <xdr:col>7</xdr:col>
                    <xdr:colOff>9525</xdr:colOff>
                    <xdr:row>22</xdr:row>
                    <xdr:rowOff>19050</xdr:rowOff>
                  </from>
                  <to>
                    <xdr:col>8</xdr:col>
                    <xdr:colOff>114300</xdr:colOff>
                    <xdr:row>23</xdr:row>
                    <xdr:rowOff>38100</xdr:rowOff>
                  </to>
                </anchor>
              </controlPr>
            </control>
          </mc:Choice>
        </mc:AlternateContent>
        <mc:AlternateContent xmlns:mc="http://schemas.openxmlformats.org/markup-compatibility/2006">
          <mc:Choice Requires="x14">
            <control shapeId="32802" r:id="rId38" name="Option Button 34">
              <controlPr defaultSize="0" autoFill="0" autoLine="0" autoPict="0">
                <anchor moveWithCells="1">
                  <from>
                    <xdr:col>13</xdr:col>
                    <xdr:colOff>9525</xdr:colOff>
                    <xdr:row>22</xdr:row>
                    <xdr:rowOff>19050</xdr:rowOff>
                  </from>
                  <to>
                    <xdr:col>14</xdr:col>
                    <xdr:colOff>114300</xdr:colOff>
                    <xdr:row>23</xdr:row>
                    <xdr:rowOff>38100</xdr:rowOff>
                  </to>
                </anchor>
              </controlPr>
            </control>
          </mc:Choice>
        </mc:AlternateContent>
        <mc:AlternateContent xmlns:mc="http://schemas.openxmlformats.org/markup-compatibility/2006">
          <mc:Choice Requires="x14">
            <control shapeId="32803" r:id="rId39" name="Option Button 35">
              <controlPr defaultSize="0" autoFill="0" autoLine="0" autoPict="0">
                <anchor moveWithCells="1">
                  <from>
                    <xdr:col>19</xdr:col>
                    <xdr:colOff>9525</xdr:colOff>
                    <xdr:row>22</xdr:row>
                    <xdr:rowOff>19050</xdr:rowOff>
                  </from>
                  <to>
                    <xdr:col>20</xdr:col>
                    <xdr:colOff>114300</xdr:colOff>
                    <xdr:row>23</xdr:row>
                    <xdr:rowOff>38100</xdr:rowOff>
                  </to>
                </anchor>
              </controlPr>
            </control>
          </mc:Choice>
        </mc:AlternateContent>
        <mc:AlternateContent xmlns:mc="http://schemas.openxmlformats.org/markup-compatibility/2006">
          <mc:Choice Requires="x14">
            <control shapeId="32804" r:id="rId40" name="Option Button 36">
              <controlPr defaultSize="0" autoFill="0" autoLine="0" autoPict="0">
                <anchor moveWithCells="1">
                  <from>
                    <xdr:col>26</xdr:col>
                    <xdr:colOff>9525</xdr:colOff>
                    <xdr:row>22</xdr:row>
                    <xdr:rowOff>19050</xdr:rowOff>
                  </from>
                  <to>
                    <xdr:col>27</xdr:col>
                    <xdr:colOff>114300</xdr:colOff>
                    <xdr:row>23</xdr:row>
                    <xdr:rowOff>38100</xdr:rowOff>
                  </to>
                </anchor>
              </controlPr>
            </control>
          </mc:Choice>
        </mc:AlternateContent>
        <mc:AlternateContent xmlns:mc="http://schemas.openxmlformats.org/markup-compatibility/2006">
          <mc:Choice Requires="x14">
            <control shapeId="32805" r:id="rId41" name="Option Button 37">
              <controlPr defaultSize="0" autoFill="0" autoLine="0" autoPict="0">
                <anchor moveWithCells="1">
                  <from>
                    <xdr:col>32</xdr:col>
                    <xdr:colOff>9525</xdr:colOff>
                    <xdr:row>22</xdr:row>
                    <xdr:rowOff>19050</xdr:rowOff>
                  </from>
                  <to>
                    <xdr:col>33</xdr:col>
                    <xdr:colOff>104775</xdr:colOff>
                    <xdr:row>23</xdr:row>
                    <xdr:rowOff>38100</xdr:rowOff>
                  </to>
                </anchor>
              </controlPr>
            </control>
          </mc:Choice>
        </mc:AlternateContent>
        <mc:AlternateContent xmlns:mc="http://schemas.openxmlformats.org/markup-compatibility/2006">
          <mc:Choice Requires="x14">
            <control shapeId="32806" r:id="rId42" name="Option Button 38">
              <controlPr defaultSize="0" autoFill="0" autoLine="0" autoPict="0">
                <anchor moveWithCells="1">
                  <from>
                    <xdr:col>7</xdr:col>
                    <xdr:colOff>9525</xdr:colOff>
                    <xdr:row>23</xdr:row>
                    <xdr:rowOff>19050</xdr:rowOff>
                  </from>
                  <to>
                    <xdr:col>8</xdr:col>
                    <xdr:colOff>114300</xdr:colOff>
                    <xdr:row>24</xdr:row>
                    <xdr:rowOff>38100</xdr:rowOff>
                  </to>
                </anchor>
              </controlPr>
            </control>
          </mc:Choice>
        </mc:AlternateContent>
        <mc:AlternateContent xmlns:mc="http://schemas.openxmlformats.org/markup-compatibility/2006">
          <mc:Choice Requires="x14">
            <control shapeId="32807" r:id="rId43" name="Option Button 39">
              <controlPr defaultSize="0" autoFill="0" autoLine="0" autoPict="0">
                <anchor moveWithCells="1">
                  <from>
                    <xdr:col>12</xdr:col>
                    <xdr:colOff>9525</xdr:colOff>
                    <xdr:row>23</xdr:row>
                    <xdr:rowOff>19050</xdr:rowOff>
                  </from>
                  <to>
                    <xdr:col>13</xdr:col>
                    <xdr:colOff>114300</xdr:colOff>
                    <xdr:row>24</xdr:row>
                    <xdr:rowOff>38100</xdr:rowOff>
                  </to>
                </anchor>
              </controlPr>
            </control>
          </mc:Choice>
        </mc:AlternateContent>
        <mc:AlternateContent xmlns:mc="http://schemas.openxmlformats.org/markup-compatibility/2006">
          <mc:Choice Requires="x14">
            <control shapeId="32808" r:id="rId44" name="Option Button 40">
              <controlPr defaultSize="0" autoFill="0" autoLine="0" autoPict="0">
                <anchor moveWithCells="1">
                  <from>
                    <xdr:col>17</xdr:col>
                    <xdr:colOff>9525</xdr:colOff>
                    <xdr:row>23</xdr:row>
                    <xdr:rowOff>19050</xdr:rowOff>
                  </from>
                  <to>
                    <xdr:col>18</xdr:col>
                    <xdr:colOff>114300</xdr:colOff>
                    <xdr:row>24</xdr:row>
                    <xdr:rowOff>38100</xdr:rowOff>
                  </to>
                </anchor>
              </controlPr>
            </control>
          </mc:Choice>
        </mc:AlternateContent>
        <mc:AlternateContent xmlns:mc="http://schemas.openxmlformats.org/markup-compatibility/2006">
          <mc:Choice Requires="x14">
            <control shapeId="32809" r:id="rId45" name="Option Button 41">
              <controlPr defaultSize="0" autoFill="0" autoLine="0" autoPict="0">
                <anchor moveWithCells="1">
                  <from>
                    <xdr:col>14</xdr:col>
                    <xdr:colOff>9525</xdr:colOff>
                    <xdr:row>25</xdr:row>
                    <xdr:rowOff>0</xdr:rowOff>
                  </from>
                  <to>
                    <xdr:col>15</xdr:col>
                    <xdr:colOff>57150</xdr:colOff>
                    <xdr:row>26</xdr:row>
                    <xdr:rowOff>9525</xdr:rowOff>
                  </to>
                </anchor>
              </controlPr>
            </control>
          </mc:Choice>
        </mc:AlternateContent>
        <mc:AlternateContent xmlns:mc="http://schemas.openxmlformats.org/markup-compatibility/2006">
          <mc:Choice Requires="x14">
            <control shapeId="32810" r:id="rId46" name="Option Button 42">
              <controlPr defaultSize="0" autoFill="0" autoLine="0" autoPict="0">
                <anchor moveWithCells="1">
                  <from>
                    <xdr:col>17</xdr:col>
                    <xdr:colOff>9525</xdr:colOff>
                    <xdr:row>25</xdr:row>
                    <xdr:rowOff>0</xdr:rowOff>
                  </from>
                  <to>
                    <xdr:col>18</xdr:col>
                    <xdr:colOff>57150</xdr:colOff>
                    <xdr:row>26</xdr:row>
                    <xdr:rowOff>9525</xdr:rowOff>
                  </to>
                </anchor>
              </controlPr>
            </control>
          </mc:Choice>
        </mc:AlternateContent>
        <mc:AlternateContent xmlns:mc="http://schemas.openxmlformats.org/markup-compatibility/2006">
          <mc:Choice Requires="x14">
            <control shapeId="32811" r:id="rId47" name="Option Button 43">
              <controlPr defaultSize="0" autoFill="0" autoLine="0" autoPict="0">
                <anchor moveWithCells="1">
                  <from>
                    <xdr:col>21</xdr:col>
                    <xdr:colOff>9525</xdr:colOff>
                    <xdr:row>25</xdr:row>
                    <xdr:rowOff>0</xdr:rowOff>
                  </from>
                  <to>
                    <xdr:col>22</xdr:col>
                    <xdr:colOff>57150</xdr:colOff>
                    <xdr:row>26</xdr:row>
                    <xdr:rowOff>9525</xdr:rowOff>
                  </to>
                </anchor>
              </controlPr>
            </control>
          </mc:Choice>
        </mc:AlternateContent>
        <mc:AlternateContent xmlns:mc="http://schemas.openxmlformats.org/markup-compatibility/2006">
          <mc:Choice Requires="x14">
            <control shapeId="32812" r:id="rId48" name="Option Button 44">
              <controlPr defaultSize="0" autoFill="0" autoLine="0" autoPict="0">
                <anchor moveWithCells="1">
                  <from>
                    <xdr:col>24</xdr:col>
                    <xdr:colOff>9525</xdr:colOff>
                    <xdr:row>25</xdr:row>
                    <xdr:rowOff>0</xdr:rowOff>
                  </from>
                  <to>
                    <xdr:col>25</xdr:col>
                    <xdr:colOff>57150</xdr:colOff>
                    <xdr:row>26</xdr:row>
                    <xdr:rowOff>9525</xdr:rowOff>
                  </to>
                </anchor>
              </controlPr>
            </control>
          </mc:Choice>
        </mc:AlternateContent>
        <mc:AlternateContent xmlns:mc="http://schemas.openxmlformats.org/markup-compatibility/2006">
          <mc:Choice Requires="x14">
            <control shapeId="32813" r:id="rId49" name="Group Box 45">
              <controlPr defaultSize="0" autoFill="0" autoPict="0">
                <anchor moveWithCells="1">
                  <from>
                    <xdr:col>13</xdr:col>
                    <xdr:colOff>161925</xdr:colOff>
                    <xdr:row>24</xdr:row>
                    <xdr:rowOff>95250</xdr:rowOff>
                  </from>
                  <to>
                    <xdr:col>26</xdr:col>
                    <xdr:colOff>38100</xdr:colOff>
                    <xdr:row>26</xdr:row>
                    <xdr:rowOff>47625</xdr:rowOff>
                  </to>
                </anchor>
              </controlPr>
            </control>
          </mc:Choice>
        </mc:AlternateContent>
        <mc:AlternateContent xmlns:mc="http://schemas.openxmlformats.org/markup-compatibility/2006">
          <mc:Choice Requires="x14">
            <control shapeId="32814" r:id="rId50" name="Option Button 46">
              <controlPr defaultSize="0" autoFill="0" autoLine="0" autoPict="0">
                <anchor moveWithCells="1">
                  <from>
                    <xdr:col>7</xdr:col>
                    <xdr:colOff>9525</xdr:colOff>
                    <xdr:row>26</xdr:row>
                    <xdr:rowOff>0</xdr:rowOff>
                  </from>
                  <to>
                    <xdr:col>8</xdr:col>
                    <xdr:colOff>38100</xdr:colOff>
                    <xdr:row>27</xdr:row>
                    <xdr:rowOff>0</xdr:rowOff>
                  </to>
                </anchor>
              </controlPr>
            </control>
          </mc:Choice>
        </mc:AlternateContent>
        <mc:AlternateContent xmlns:mc="http://schemas.openxmlformats.org/markup-compatibility/2006">
          <mc:Choice Requires="x14">
            <control shapeId="32815" r:id="rId51" name="Option Button 47">
              <controlPr defaultSize="0" autoFill="0" autoLine="0" autoPict="0">
                <anchor moveWithCells="1">
                  <from>
                    <xdr:col>7</xdr:col>
                    <xdr:colOff>9525</xdr:colOff>
                    <xdr:row>27</xdr:row>
                    <xdr:rowOff>0</xdr:rowOff>
                  </from>
                  <to>
                    <xdr:col>8</xdr:col>
                    <xdr:colOff>38100</xdr:colOff>
                    <xdr:row>28</xdr:row>
                    <xdr:rowOff>0</xdr:rowOff>
                  </to>
                </anchor>
              </controlPr>
            </control>
          </mc:Choice>
        </mc:AlternateContent>
        <mc:AlternateContent xmlns:mc="http://schemas.openxmlformats.org/markup-compatibility/2006">
          <mc:Choice Requires="x14">
            <control shapeId="32816" r:id="rId52" name="Group Box 48">
              <controlPr defaultSize="0" autoFill="0" autoPict="0">
                <anchor moveWithCells="1">
                  <from>
                    <xdr:col>6</xdr:col>
                    <xdr:colOff>123825</xdr:colOff>
                    <xdr:row>25</xdr:row>
                    <xdr:rowOff>219075</xdr:rowOff>
                  </from>
                  <to>
                    <xdr:col>8</xdr:col>
                    <xdr:colOff>104775</xdr:colOff>
                    <xdr:row>28</xdr:row>
                    <xdr:rowOff>9525</xdr:rowOff>
                  </to>
                </anchor>
              </controlPr>
            </control>
          </mc:Choice>
        </mc:AlternateContent>
        <mc:AlternateContent xmlns:mc="http://schemas.openxmlformats.org/markup-compatibility/2006">
          <mc:Choice Requires="x14">
            <control shapeId="32817" r:id="rId53" name="Option Button 49">
              <controlPr defaultSize="0" autoFill="0" autoLine="0" autoPict="0">
                <anchor moveWithCells="1">
                  <from>
                    <xdr:col>5</xdr:col>
                    <xdr:colOff>190500</xdr:colOff>
                    <xdr:row>4</xdr:row>
                    <xdr:rowOff>19050</xdr:rowOff>
                  </from>
                  <to>
                    <xdr:col>7</xdr:col>
                    <xdr:colOff>123825</xdr:colOff>
                    <xdr:row>5</xdr:row>
                    <xdr:rowOff>0</xdr:rowOff>
                  </to>
                </anchor>
              </controlPr>
            </control>
          </mc:Choice>
        </mc:AlternateContent>
        <mc:AlternateContent xmlns:mc="http://schemas.openxmlformats.org/markup-compatibility/2006">
          <mc:Choice Requires="x14">
            <control shapeId="32818" r:id="rId54" name="Option Button 50">
              <controlPr defaultSize="0" autoFill="0" autoLine="0" autoPict="0">
                <anchor moveWithCells="1">
                  <from>
                    <xdr:col>12</xdr:col>
                    <xdr:colOff>180975</xdr:colOff>
                    <xdr:row>4</xdr:row>
                    <xdr:rowOff>0</xdr:rowOff>
                  </from>
                  <to>
                    <xdr:col>14</xdr:col>
                    <xdr:colOff>114300</xdr:colOff>
                    <xdr:row>4</xdr:row>
                    <xdr:rowOff>200025</xdr:rowOff>
                  </to>
                </anchor>
              </controlPr>
            </control>
          </mc:Choice>
        </mc:AlternateContent>
        <mc:AlternateContent xmlns:mc="http://schemas.openxmlformats.org/markup-compatibility/2006">
          <mc:Choice Requires="x14">
            <control shapeId="32819" r:id="rId55" name="Option Button 51">
              <controlPr defaultSize="0" autoFill="0" autoLine="0" autoPict="0">
                <anchor moveWithCells="1">
                  <from>
                    <xdr:col>19</xdr:col>
                    <xdr:colOff>180975</xdr:colOff>
                    <xdr:row>4</xdr:row>
                    <xdr:rowOff>0</xdr:rowOff>
                  </from>
                  <to>
                    <xdr:col>21</xdr:col>
                    <xdr:colOff>114300</xdr:colOff>
                    <xdr:row>5</xdr:row>
                    <xdr:rowOff>0</xdr:rowOff>
                  </to>
                </anchor>
              </controlPr>
            </control>
          </mc:Choice>
        </mc:AlternateContent>
        <mc:AlternateContent xmlns:mc="http://schemas.openxmlformats.org/markup-compatibility/2006">
          <mc:Choice Requires="x14">
            <control shapeId="32820" r:id="rId56" name="Group Box 52">
              <controlPr defaultSize="0" autoFill="0" autoPict="0">
                <anchor moveWithCells="1">
                  <from>
                    <xdr:col>5</xdr:col>
                    <xdr:colOff>19050</xdr:colOff>
                    <xdr:row>3</xdr:row>
                    <xdr:rowOff>266700</xdr:rowOff>
                  </from>
                  <to>
                    <xdr:col>26</xdr:col>
                    <xdr:colOff>76200</xdr:colOff>
                    <xdr:row>5</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90C75627-27A5-4626-B757-6F726C5DCEC0}">
            <xm:f>謝金・旅費実施伺!$Q$38&lt;&gt;""</xm:f>
            <x14:dxf>
              <fill>
                <patternFill patternType="none">
                  <bgColor auto="1"/>
                </patternFill>
              </fill>
            </x14:dxf>
          </x14:cfRule>
          <x14:cfRule type="expression" priority="3" id="{F83DA17B-434E-49F9-A92C-E43F68DC029C}">
            <xm:f>謝金・旅費実施伺!$AM$22=14</xm:f>
            <x14:dxf>
              <fill>
                <patternFill>
                  <bgColor rgb="FFA3FFEC"/>
                </patternFill>
              </fill>
            </x14:dxf>
          </x14:cfRule>
          <xm:sqref>Q37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73948-61E4-4DBE-9DC7-8B814B443DBD}">
  <sheetPr codeName="Sheet6">
    <tabColor theme="4" tint="-0.249977111117893"/>
  </sheetPr>
  <dimension ref="A1:AZ42"/>
  <sheetViews>
    <sheetView view="pageBreakPreview" topLeftCell="A19" zoomScale="85" zoomScaleNormal="100" zoomScaleSheetLayoutView="85" workbookViewId="0">
      <selection activeCell="G3" sqref="G3:AL4"/>
    </sheetView>
  </sheetViews>
  <sheetFormatPr defaultColWidth="2.625" defaultRowHeight="18.75" customHeight="1"/>
  <cols>
    <col min="1" max="1" width="2.5" style="25" customWidth="1"/>
    <col min="2" max="6" width="2.625" style="25"/>
    <col min="7" max="7" width="2.625" style="25" customWidth="1"/>
    <col min="8" max="32" width="2.625" style="25"/>
    <col min="33" max="33" width="2.75" style="25" customWidth="1"/>
    <col min="34" max="37" width="2.625" style="25"/>
    <col min="38" max="38" width="3.5" style="25" customWidth="1"/>
    <col min="39" max="39" width="3.125" style="1" hidden="1" customWidth="1"/>
    <col min="40" max="40" width="3" style="1" hidden="1" customWidth="1"/>
    <col min="41" max="16384" width="2.625" style="1"/>
  </cols>
  <sheetData>
    <row r="1" spans="1:39" ht="27" customHeight="1" thickBot="1">
      <c r="A1" s="135" t="s">
        <v>0</v>
      </c>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row>
    <row r="2" spans="1:39" ht="23.25" customHeight="1" thickTop="1">
      <c r="B2" s="25" t="s">
        <v>1</v>
      </c>
    </row>
    <row r="3" spans="1:39" ht="28.5" customHeight="1">
      <c r="A3" s="136" t="s">
        <v>3</v>
      </c>
      <c r="B3" s="137"/>
      <c r="C3" s="137"/>
      <c r="D3" s="137"/>
      <c r="E3" s="137"/>
      <c r="F3" s="138"/>
      <c r="G3" s="353" t="s">
        <v>325</v>
      </c>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5"/>
    </row>
    <row r="4" spans="1:39" ht="28.5" customHeight="1">
      <c r="A4" s="139"/>
      <c r="B4" s="140"/>
      <c r="C4" s="140"/>
      <c r="D4" s="140"/>
      <c r="E4" s="140"/>
      <c r="F4" s="141"/>
      <c r="G4" s="356"/>
      <c r="H4" s="357"/>
      <c r="I4" s="357"/>
      <c r="J4" s="357"/>
      <c r="K4" s="357"/>
      <c r="L4" s="357"/>
      <c r="M4" s="357"/>
      <c r="N4" s="357"/>
      <c r="O4" s="357"/>
      <c r="P4" s="357"/>
      <c r="Q4" s="357"/>
      <c r="R4" s="357"/>
      <c r="S4" s="357"/>
      <c r="T4" s="357"/>
      <c r="U4" s="357"/>
      <c r="V4" s="357"/>
      <c r="W4" s="357"/>
      <c r="X4" s="357"/>
      <c r="Y4" s="357"/>
      <c r="Z4" s="357"/>
      <c r="AA4" s="357"/>
      <c r="AB4" s="357"/>
      <c r="AC4" s="357"/>
      <c r="AD4" s="357"/>
      <c r="AE4" s="357"/>
      <c r="AF4" s="357"/>
      <c r="AG4" s="357"/>
      <c r="AH4" s="357"/>
      <c r="AI4" s="357"/>
      <c r="AJ4" s="357"/>
      <c r="AK4" s="357"/>
      <c r="AL4" s="358"/>
    </row>
    <row r="5" spans="1:39" ht="16.5" customHeight="1">
      <c r="A5" s="139"/>
      <c r="B5" s="140"/>
      <c r="C5" s="140"/>
      <c r="D5" s="140"/>
      <c r="E5" s="140"/>
      <c r="F5" s="141"/>
      <c r="G5" s="69"/>
      <c r="H5" s="87" t="s">
        <v>6</v>
      </c>
      <c r="I5" s="87"/>
      <c r="J5" s="87"/>
      <c r="K5" s="87"/>
      <c r="L5" s="87"/>
      <c r="N5" s="70"/>
      <c r="O5" s="88" t="s">
        <v>7</v>
      </c>
      <c r="P5" s="88"/>
      <c r="Q5" s="88"/>
      <c r="R5" s="88"/>
      <c r="S5" s="88"/>
      <c r="U5" s="70"/>
      <c r="V5" s="88" t="s">
        <v>8</v>
      </c>
      <c r="W5" s="88"/>
      <c r="X5" s="88"/>
      <c r="Y5" s="88"/>
      <c r="Z5" s="88"/>
      <c r="AB5" s="71" t="s">
        <v>9</v>
      </c>
      <c r="AL5" s="30"/>
      <c r="AM5" s="1">
        <v>3</v>
      </c>
    </row>
    <row r="6" spans="1:39" ht="34.5" customHeight="1">
      <c r="A6" s="154" t="s">
        <v>10</v>
      </c>
      <c r="B6" s="136" t="s">
        <v>11</v>
      </c>
      <c r="C6" s="137"/>
      <c r="D6" s="137"/>
      <c r="E6" s="137"/>
      <c r="F6" s="138"/>
      <c r="G6" s="353" t="s">
        <v>315</v>
      </c>
      <c r="H6" s="354"/>
      <c r="I6" s="354"/>
      <c r="J6" s="354"/>
      <c r="K6" s="354"/>
      <c r="L6" s="354"/>
      <c r="M6" s="354"/>
      <c r="N6" s="354"/>
      <c r="O6" s="354"/>
      <c r="P6" s="354"/>
      <c r="Q6" s="354"/>
      <c r="R6" s="354"/>
      <c r="S6" s="354"/>
      <c r="T6" s="354"/>
      <c r="U6" s="103" t="s">
        <v>12</v>
      </c>
      <c r="V6" s="103"/>
      <c r="W6" s="103"/>
      <c r="X6" s="103"/>
      <c r="Y6" s="362" t="s">
        <v>315</v>
      </c>
      <c r="Z6" s="362"/>
      <c r="AA6" s="362"/>
      <c r="AB6" s="362"/>
      <c r="AC6" s="362"/>
      <c r="AD6" s="362"/>
      <c r="AE6" s="362"/>
      <c r="AF6" s="362"/>
      <c r="AG6" s="362"/>
      <c r="AH6" s="362"/>
      <c r="AI6" s="362"/>
      <c r="AJ6" s="362"/>
      <c r="AK6" s="362"/>
      <c r="AL6" s="363"/>
    </row>
    <row r="7" spans="1:39" ht="17.25" customHeight="1">
      <c r="A7" s="154"/>
      <c r="B7" s="89" t="s">
        <v>13</v>
      </c>
      <c r="C7" s="91" t="s">
        <v>14</v>
      </c>
      <c r="D7" s="92"/>
      <c r="E7" s="92"/>
      <c r="F7" s="93"/>
      <c r="G7" s="319" t="s">
        <v>315</v>
      </c>
      <c r="H7" s="320"/>
      <c r="I7" s="320"/>
      <c r="J7" s="320"/>
      <c r="K7" s="320"/>
      <c r="L7" s="320"/>
      <c r="M7" s="320"/>
      <c r="N7" s="320"/>
      <c r="O7" s="320"/>
      <c r="P7" s="320"/>
      <c r="Q7" s="320"/>
      <c r="R7" s="320"/>
      <c r="S7" s="320"/>
      <c r="T7" s="320"/>
      <c r="U7" s="103" t="s">
        <v>15</v>
      </c>
      <c r="V7" s="103"/>
      <c r="W7" s="103"/>
      <c r="X7" s="103"/>
      <c r="Y7" s="340" t="s">
        <v>315</v>
      </c>
      <c r="Z7" s="340"/>
      <c r="AA7" s="340"/>
      <c r="AB7" s="340"/>
      <c r="AC7" s="340"/>
      <c r="AD7" s="340"/>
      <c r="AE7" s="340"/>
      <c r="AF7" s="340"/>
      <c r="AG7" s="340"/>
      <c r="AH7" s="340"/>
      <c r="AI7" s="340"/>
      <c r="AJ7" s="340"/>
      <c r="AK7" s="340"/>
      <c r="AL7" s="341"/>
    </row>
    <row r="8" spans="1:39" ht="18" customHeight="1">
      <c r="A8" s="154"/>
      <c r="B8" s="90"/>
      <c r="C8" s="94" t="s">
        <v>16</v>
      </c>
      <c r="D8" s="95"/>
      <c r="E8" s="95"/>
      <c r="F8" s="96"/>
      <c r="G8" s="359" t="s">
        <v>315</v>
      </c>
      <c r="H8" s="360"/>
      <c r="I8" s="360"/>
      <c r="J8" s="360"/>
      <c r="K8" s="360"/>
      <c r="L8" s="360"/>
      <c r="M8" s="360"/>
      <c r="N8" s="360"/>
      <c r="O8" s="360"/>
      <c r="P8" s="360"/>
      <c r="Q8" s="360"/>
      <c r="R8" s="360"/>
      <c r="S8" s="360"/>
      <c r="T8" s="360"/>
      <c r="U8" s="104"/>
      <c r="V8" s="104"/>
      <c r="W8" s="104"/>
      <c r="X8" s="104"/>
      <c r="Y8" s="342"/>
      <c r="Z8" s="342"/>
      <c r="AA8" s="342"/>
      <c r="AB8" s="342"/>
      <c r="AC8" s="342"/>
      <c r="AD8" s="342"/>
      <c r="AE8" s="342"/>
      <c r="AF8" s="342"/>
      <c r="AG8" s="342"/>
      <c r="AH8" s="342"/>
      <c r="AI8" s="342"/>
      <c r="AJ8" s="342"/>
      <c r="AK8" s="342"/>
      <c r="AL8" s="343"/>
    </row>
    <row r="9" spans="1:39" ht="21" customHeight="1">
      <c r="A9" s="78" t="s">
        <v>17</v>
      </c>
      <c r="B9" s="79"/>
      <c r="C9" s="79"/>
      <c r="D9" s="79"/>
      <c r="E9" s="79"/>
      <c r="F9" s="80"/>
      <c r="G9" s="105" t="s">
        <v>18</v>
      </c>
      <c r="H9" s="106"/>
      <c r="I9" s="107"/>
      <c r="J9" s="347">
        <v>46113</v>
      </c>
      <c r="K9" s="348"/>
      <c r="L9" s="348"/>
      <c r="M9" s="348"/>
      <c r="N9" s="348"/>
      <c r="O9" s="348"/>
      <c r="P9" s="348"/>
      <c r="Q9" s="349"/>
      <c r="R9" s="25" t="s">
        <v>19</v>
      </c>
      <c r="S9" s="105" t="s">
        <v>20</v>
      </c>
      <c r="T9" s="106"/>
      <c r="U9" s="107"/>
      <c r="V9" s="347">
        <v>46326</v>
      </c>
      <c r="W9" s="348"/>
      <c r="X9" s="348"/>
      <c r="Y9" s="348"/>
      <c r="Z9" s="348"/>
      <c r="AA9" s="348"/>
      <c r="AB9" s="348"/>
      <c r="AC9" s="349"/>
      <c r="AE9" s="25" t="s">
        <v>21</v>
      </c>
      <c r="AF9" s="161">
        <f>IF(V9="","",DATEDIF(J9,V9,"d")+1)</f>
        <v>214</v>
      </c>
      <c r="AG9" s="161"/>
      <c r="AH9" s="25" t="s">
        <v>22</v>
      </c>
      <c r="AJ9" s="25" t="s">
        <v>23</v>
      </c>
      <c r="AL9" s="30"/>
    </row>
    <row r="10" spans="1:39" ht="21" customHeight="1">
      <c r="A10" s="155"/>
      <c r="B10" s="156"/>
      <c r="C10" s="156"/>
      <c r="D10" s="156"/>
      <c r="E10" s="156"/>
      <c r="F10" s="157"/>
      <c r="G10" s="105" t="s">
        <v>24</v>
      </c>
      <c r="H10" s="106"/>
      <c r="I10" s="107"/>
      <c r="J10" s="350">
        <v>0.375</v>
      </c>
      <c r="K10" s="351"/>
      <c r="L10" s="351"/>
      <c r="M10" s="351"/>
      <c r="N10" s="351"/>
      <c r="O10" s="351"/>
      <c r="P10" s="351"/>
      <c r="Q10" s="352"/>
      <c r="R10" s="25" t="s">
        <v>25</v>
      </c>
      <c r="S10" s="105" t="s">
        <v>26</v>
      </c>
      <c r="T10" s="106"/>
      <c r="U10" s="107"/>
      <c r="V10" s="350">
        <v>0.70833333333333337</v>
      </c>
      <c r="W10" s="351"/>
      <c r="X10" s="351"/>
      <c r="Y10" s="351"/>
      <c r="Z10" s="351"/>
      <c r="AA10" s="351"/>
      <c r="AB10" s="351"/>
      <c r="AC10" s="352"/>
      <c r="AE10" s="25" t="s">
        <v>21</v>
      </c>
      <c r="AF10" s="161">
        <f>IF(V10="","",24*(V10-J10))</f>
        <v>8</v>
      </c>
      <c r="AG10" s="161"/>
      <c r="AH10" s="25" t="s">
        <v>27</v>
      </c>
      <c r="AJ10" s="25" t="s">
        <v>23</v>
      </c>
      <c r="AL10" s="30"/>
    </row>
    <row r="11" spans="1:39" ht="21" customHeight="1">
      <c r="A11" s="158"/>
      <c r="B11" s="159"/>
      <c r="C11" s="159"/>
      <c r="D11" s="159"/>
      <c r="E11" s="159"/>
      <c r="F11" s="160"/>
      <c r="G11" s="134" t="s">
        <v>28</v>
      </c>
      <c r="H11" s="134"/>
      <c r="I11" s="134"/>
      <c r="J11" s="134"/>
      <c r="K11" s="134"/>
      <c r="L11" s="134"/>
      <c r="M11" s="134"/>
      <c r="N11" s="134"/>
      <c r="O11" s="134"/>
      <c r="P11" s="134"/>
      <c r="Q11" s="134"/>
      <c r="R11" s="134"/>
      <c r="S11" s="361" t="s">
        <v>324</v>
      </c>
      <c r="T11" s="361"/>
      <c r="U11" s="361"/>
      <c r="V11" s="361"/>
      <c r="W11" s="361"/>
      <c r="X11" s="361"/>
      <c r="Y11" s="361"/>
      <c r="Z11" s="361"/>
      <c r="AA11" s="361"/>
      <c r="AB11" s="361"/>
      <c r="AC11" s="361"/>
      <c r="AD11" s="361"/>
      <c r="AE11" s="361"/>
      <c r="AF11" s="361"/>
      <c r="AG11" s="361"/>
      <c r="AH11" s="361"/>
      <c r="AI11" s="361"/>
      <c r="AJ11" s="361"/>
      <c r="AK11" s="361"/>
      <c r="AL11" s="361"/>
    </row>
    <row r="12" spans="1:39" ht="21" customHeight="1">
      <c r="A12" s="78" t="s">
        <v>29</v>
      </c>
      <c r="B12" s="79"/>
      <c r="C12" s="79"/>
      <c r="D12" s="79"/>
      <c r="E12" s="79"/>
      <c r="F12" s="80"/>
      <c r="G12" s="59"/>
      <c r="H12" s="170" t="s">
        <v>30</v>
      </c>
      <c r="I12" s="170"/>
      <c r="J12" s="170"/>
      <c r="K12" s="170"/>
      <c r="L12" s="63"/>
      <c r="M12" s="58"/>
      <c r="N12" s="108" t="s">
        <v>31</v>
      </c>
      <c r="O12" s="108"/>
      <c r="P12" s="63" t="s">
        <v>32</v>
      </c>
      <c r="Q12" s="120" t="s">
        <v>33</v>
      </c>
      <c r="R12" s="120"/>
      <c r="S12" s="120"/>
      <c r="T12" s="121"/>
      <c r="U12" s="122"/>
      <c r="V12" s="122"/>
      <c r="W12" s="122"/>
      <c r="X12" s="122"/>
      <c r="Y12" s="122"/>
      <c r="Z12" s="122"/>
      <c r="AA12" s="122"/>
      <c r="AB12" s="122"/>
      <c r="AC12" s="122"/>
      <c r="AD12" s="122"/>
      <c r="AE12" s="122"/>
      <c r="AF12" s="122"/>
      <c r="AG12" s="122"/>
      <c r="AH12" s="122"/>
      <c r="AI12" s="122"/>
      <c r="AJ12" s="122"/>
      <c r="AK12" s="122"/>
      <c r="AL12" s="122"/>
      <c r="AM12" s="1">
        <v>1</v>
      </c>
    </row>
    <row r="13" spans="1:39" ht="21" customHeight="1">
      <c r="A13" s="81"/>
      <c r="B13" s="82"/>
      <c r="C13" s="82"/>
      <c r="D13" s="82"/>
      <c r="E13" s="82"/>
      <c r="F13" s="83"/>
      <c r="G13" s="64" t="s">
        <v>34</v>
      </c>
      <c r="H13" s="34"/>
      <c r="I13" s="33"/>
      <c r="J13" s="344" t="s">
        <v>316</v>
      </c>
      <c r="K13" s="345"/>
      <c r="L13" s="345"/>
      <c r="M13" s="345"/>
      <c r="N13" s="345"/>
      <c r="O13" s="345"/>
      <c r="P13" s="346"/>
      <c r="Q13" s="119" t="s">
        <v>35</v>
      </c>
      <c r="R13" s="119"/>
      <c r="S13" s="119"/>
      <c r="T13" s="119"/>
      <c r="U13" s="119"/>
      <c r="V13" s="119"/>
      <c r="W13" s="119"/>
      <c r="X13" s="119"/>
      <c r="Y13" s="119"/>
      <c r="Z13" s="119"/>
      <c r="AA13" s="119"/>
      <c r="AB13" s="119"/>
      <c r="AC13" s="119"/>
      <c r="AD13" s="119"/>
      <c r="AE13" s="119"/>
      <c r="AF13" s="119"/>
      <c r="AG13" s="119"/>
      <c r="AH13" s="119"/>
      <c r="AI13" s="119"/>
      <c r="AJ13" s="119"/>
      <c r="AK13" s="119"/>
      <c r="AL13" s="119"/>
    </row>
    <row r="14" spans="1:39" ht="13.5">
      <c r="A14" s="162" t="s">
        <v>36</v>
      </c>
      <c r="B14" s="163"/>
      <c r="C14" s="163"/>
      <c r="D14" s="163"/>
      <c r="E14" s="163"/>
      <c r="F14" s="163"/>
      <c r="G14" s="164" t="s">
        <v>37</v>
      </c>
      <c r="H14" s="165"/>
      <c r="I14" s="165"/>
      <c r="J14" s="166"/>
      <c r="K14" s="164" t="s">
        <v>38</v>
      </c>
      <c r="L14" s="165"/>
      <c r="M14" s="165"/>
      <c r="N14" s="165"/>
      <c r="O14" s="165"/>
      <c r="P14" s="166"/>
      <c r="Q14" s="164" t="s">
        <v>39</v>
      </c>
      <c r="R14" s="165"/>
      <c r="S14" s="165"/>
      <c r="T14" s="165"/>
      <c r="U14" s="165"/>
      <c r="V14" s="165"/>
      <c r="W14" s="165"/>
      <c r="X14" s="165"/>
      <c r="Y14" s="165"/>
      <c r="Z14" s="165"/>
      <c r="AA14" s="165"/>
      <c r="AB14" s="165"/>
      <c r="AC14" s="165"/>
      <c r="AD14" s="165"/>
      <c r="AE14" s="165"/>
      <c r="AF14" s="165"/>
      <c r="AG14" s="165"/>
      <c r="AH14" s="165"/>
      <c r="AI14" s="165"/>
      <c r="AJ14" s="165"/>
      <c r="AK14" s="165"/>
      <c r="AL14" s="166"/>
    </row>
    <row r="15" spans="1:39" ht="19.5" customHeight="1">
      <c r="A15" s="162"/>
      <c r="B15" s="163"/>
      <c r="C15" s="163"/>
      <c r="D15" s="163"/>
      <c r="E15" s="163"/>
      <c r="F15" s="163"/>
      <c r="G15" s="133" t="s">
        <v>40</v>
      </c>
      <c r="H15" s="126"/>
      <c r="I15" s="126"/>
      <c r="J15" s="127"/>
      <c r="K15" s="337" t="s">
        <v>304</v>
      </c>
      <c r="L15" s="338"/>
      <c r="M15" s="338"/>
      <c r="N15" s="338"/>
      <c r="O15" s="338"/>
      <c r="P15" s="339"/>
      <c r="Q15" s="319" t="s">
        <v>305</v>
      </c>
      <c r="R15" s="320"/>
      <c r="S15" s="320"/>
      <c r="T15" s="320"/>
      <c r="U15" s="320"/>
      <c r="V15" s="320"/>
      <c r="W15" s="320"/>
      <c r="X15" s="320"/>
      <c r="Y15" s="320"/>
      <c r="Z15" s="320"/>
      <c r="AA15" s="320"/>
      <c r="AB15" s="320"/>
      <c r="AC15" s="320"/>
      <c r="AD15" s="320"/>
      <c r="AE15" s="320"/>
      <c r="AF15" s="320"/>
      <c r="AG15" s="320"/>
      <c r="AH15" s="320"/>
      <c r="AI15" s="320"/>
      <c r="AJ15" s="320"/>
      <c r="AK15" s="320"/>
      <c r="AL15" s="321"/>
    </row>
    <row r="16" spans="1:39" ht="19.5" customHeight="1">
      <c r="A16" s="162"/>
      <c r="B16" s="163"/>
      <c r="C16" s="163"/>
      <c r="D16" s="163"/>
      <c r="E16" s="163"/>
      <c r="F16" s="163"/>
      <c r="G16" s="133" t="s">
        <v>43</v>
      </c>
      <c r="H16" s="126"/>
      <c r="I16" s="126"/>
      <c r="J16" s="127"/>
      <c r="K16" s="337" t="s">
        <v>306</v>
      </c>
      <c r="L16" s="338"/>
      <c r="M16" s="338"/>
      <c r="N16" s="338"/>
      <c r="O16" s="338"/>
      <c r="P16" s="339"/>
      <c r="Q16" s="319" t="s">
        <v>307</v>
      </c>
      <c r="R16" s="320"/>
      <c r="S16" s="320"/>
      <c r="T16" s="320"/>
      <c r="U16" s="320"/>
      <c r="V16" s="320"/>
      <c r="W16" s="320"/>
      <c r="X16" s="320"/>
      <c r="Y16" s="320"/>
      <c r="Z16" s="320"/>
      <c r="AA16" s="320"/>
      <c r="AB16" s="320"/>
      <c r="AC16" s="320"/>
      <c r="AD16" s="320"/>
      <c r="AE16" s="320"/>
      <c r="AF16" s="320"/>
      <c r="AG16" s="320"/>
      <c r="AH16" s="320"/>
      <c r="AI16" s="320"/>
      <c r="AJ16" s="320"/>
      <c r="AK16" s="320"/>
      <c r="AL16" s="321"/>
    </row>
    <row r="17" spans="1:52" ht="19.5" customHeight="1">
      <c r="A17" s="162"/>
      <c r="B17" s="163"/>
      <c r="C17" s="163"/>
      <c r="D17" s="163"/>
      <c r="E17" s="163"/>
      <c r="F17" s="163"/>
      <c r="G17" s="133" t="s">
        <v>46</v>
      </c>
      <c r="H17" s="126"/>
      <c r="I17" s="126"/>
      <c r="J17" s="127"/>
      <c r="K17" s="337" t="s">
        <v>323</v>
      </c>
      <c r="L17" s="338"/>
      <c r="M17" s="338"/>
      <c r="N17" s="338"/>
      <c r="O17" s="338"/>
      <c r="P17" s="339"/>
      <c r="Q17" s="319" t="s">
        <v>308</v>
      </c>
      <c r="R17" s="320"/>
      <c r="S17" s="320"/>
      <c r="T17" s="320"/>
      <c r="U17" s="320"/>
      <c r="V17" s="320"/>
      <c r="W17" s="320"/>
      <c r="X17" s="320"/>
      <c r="Y17" s="320"/>
      <c r="Z17" s="320"/>
      <c r="AA17" s="320"/>
      <c r="AB17" s="320"/>
      <c r="AC17" s="320"/>
      <c r="AD17" s="320"/>
      <c r="AE17" s="320"/>
      <c r="AF17" s="320"/>
      <c r="AG17" s="320"/>
      <c r="AH17" s="320"/>
      <c r="AI17" s="320"/>
      <c r="AJ17" s="320"/>
      <c r="AK17" s="320"/>
      <c r="AL17" s="321"/>
    </row>
    <row r="18" spans="1:52" ht="19.5" customHeight="1">
      <c r="A18" s="162"/>
      <c r="B18" s="163"/>
      <c r="C18" s="163"/>
      <c r="D18" s="163"/>
      <c r="E18" s="163"/>
      <c r="F18" s="163"/>
      <c r="G18" s="133" t="s">
        <v>48</v>
      </c>
      <c r="H18" s="126"/>
      <c r="I18" s="126"/>
      <c r="J18" s="127"/>
      <c r="K18" s="337" t="s">
        <v>304</v>
      </c>
      <c r="L18" s="338"/>
      <c r="M18" s="338"/>
      <c r="N18" s="338"/>
      <c r="O18" s="338"/>
      <c r="P18" s="339"/>
      <c r="Q18" s="319" t="s">
        <v>309</v>
      </c>
      <c r="R18" s="320"/>
      <c r="S18" s="320"/>
      <c r="T18" s="320"/>
      <c r="U18" s="320"/>
      <c r="V18" s="320"/>
      <c r="W18" s="320"/>
      <c r="X18" s="320"/>
      <c r="Y18" s="320"/>
      <c r="Z18" s="320"/>
      <c r="AA18" s="320"/>
      <c r="AB18" s="320"/>
      <c r="AC18" s="320"/>
      <c r="AD18" s="320"/>
      <c r="AE18" s="320"/>
      <c r="AF18" s="320"/>
      <c r="AG18" s="320"/>
      <c r="AH18" s="320"/>
      <c r="AI18" s="320"/>
      <c r="AJ18" s="320"/>
      <c r="AK18" s="320"/>
      <c r="AL18" s="321"/>
    </row>
    <row r="19" spans="1:52" ht="19.5" customHeight="1">
      <c r="A19" s="162"/>
      <c r="B19" s="163"/>
      <c r="C19" s="163"/>
      <c r="D19" s="163"/>
      <c r="E19" s="163"/>
      <c r="F19" s="163"/>
      <c r="G19" s="133" t="s">
        <v>50</v>
      </c>
      <c r="H19" s="126"/>
      <c r="I19" s="126"/>
      <c r="J19" s="127"/>
      <c r="K19" s="337" t="s">
        <v>306</v>
      </c>
      <c r="L19" s="338"/>
      <c r="M19" s="338"/>
      <c r="N19" s="338"/>
      <c r="O19" s="338"/>
      <c r="P19" s="339"/>
      <c r="Q19" s="319" t="s">
        <v>307</v>
      </c>
      <c r="R19" s="320"/>
      <c r="S19" s="320"/>
      <c r="T19" s="320"/>
      <c r="U19" s="320"/>
      <c r="V19" s="320"/>
      <c r="W19" s="320"/>
      <c r="X19" s="320"/>
      <c r="Y19" s="320"/>
      <c r="Z19" s="320"/>
      <c r="AA19" s="320"/>
      <c r="AB19" s="320"/>
      <c r="AC19" s="320"/>
      <c r="AD19" s="320"/>
      <c r="AE19" s="320"/>
      <c r="AF19" s="320"/>
      <c r="AG19" s="320"/>
      <c r="AH19" s="320"/>
      <c r="AI19" s="320"/>
      <c r="AJ19" s="320"/>
      <c r="AK19" s="320"/>
      <c r="AL19" s="321"/>
    </row>
    <row r="20" spans="1:52" ht="24.75" customHeight="1">
      <c r="A20" s="154" t="s">
        <v>51</v>
      </c>
      <c r="B20" s="209" t="s">
        <v>52</v>
      </c>
      <c r="C20" s="210"/>
      <c r="D20" s="210"/>
      <c r="E20" s="210"/>
      <c r="F20" s="211"/>
      <c r="G20" s="31"/>
      <c r="H20" s="32" t="s">
        <v>53</v>
      </c>
      <c r="I20" s="32"/>
      <c r="J20" s="32"/>
      <c r="K20" s="32"/>
      <c r="L20" s="33"/>
      <c r="M20" s="33"/>
      <c r="N20" s="33"/>
      <c r="O20" s="32" t="s">
        <v>54</v>
      </c>
      <c r="P20" s="32"/>
      <c r="Q20" s="32"/>
      <c r="R20" s="32"/>
      <c r="S20" s="34"/>
      <c r="T20" s="34"/>
      <c r="U20" s="33"/>
      <c r="V20" s="32" t="s">
        <v>55</v>
      </c>
      <c r="W20" s="32"/>
      <c r="X20" s="32"/>
      <c r="Y20" s="32"/>
      <c r="Z20" s="34"/>
      <c r="AA20" s="57" t="str">
        <f>IF($AM$20=0,"←ボタンを選択してください",IF($AM$20=1,"↓謝金詳細を入力してください","⑨については入力完了です"))</f>
        <v>↓謝金詳細を入力してください</v>
      </c>
      <c r="AB20" s="34"/>
      <c r="AC20" s="34"/>
      <c r="AE20" s="34"/>
      <c r="AF20" s="34"/>
      <c r="AG20" s="34"/>
      <c r="AH20" s="34"/>
      <c r="AI20" s="34"/>
      <c r="AJ20" s="34"/>
      <c r="AK20" s="34"/>
      <c r="AL20" s="35"/>
      <c r="AM20" s="1">
        <v>1</v>
      </c>
    </row>
    <row r="21" spans="1:52" ht="18.75" customHeight="1">
      <c r="A21" s="154"/>
      <c r="B21" s="200" t="s">
        <v>56</v>
      </c>
      <c r="C21" s="200"/>
      <c r="D21" s="191" t="s">
        <v>57</v>
      </c>
      <c r="E21" s="192"/>
      <c r="F21" s="193"/>
      <c r="G21" s="26"/>
      <c r="H21" s="27"/>
      <c r="I21" s="27" t="s">
        <v>58</v>
      </c>
      <c r="J21" s="27"/>
      <c r="K21" s="27"/>
      <c r="L21" s="27"/>
      <c r="M21" s="27" t="s">
        <v>59</v>
      </c>
      <c r="N21" s="27"/>
      <c r="O21" s="27"/>
      <c r="P21" s="27"/>
      <c r="Q21" s="27"/>
      <c r="R21" s="27"/>
      <c r="S21" s="27" t="s">
        <v>60</v>
      </c>
      <c r="T21" s="27"/>
      <c r="U21" s="27"/>
      <c r="V21" s="27"/>
      <c r="W21" s="27" t="s">
        <v>61</v>
      </c>
      <c r="X21" s="27"/>
      <c r="Y21" s="27"/>
      <c r="Z21" s="27"/>
      <c r="AA21" s="27" t="s">
        <v>62</v>
      </c>
      <c r="AB21" s="27"/>
      <c r="AC21" s="27"/>
      <c r="AD21" s="27"/>
      <c r="AE21" s="27" t="s">
        <v>63</v>
      </c>
      <c r="AF21" s="27"/>
      <c r="AG21" s="27"/>
      <c r="AH21" s="27"/>
      <c r="AI21" s="27" t="s">
        <v>64</v>
      </c>
      <c r="AJ21" s="27"/>
      <c r="AK21" s="27"/>
      <c r="AL21" s="36"/>
      <c r="AM21" s="1">
        <v>14</v>
      </c>
    </row>
    <row r="22" spans="1:52" ht="18.75" customHeight="1">
      <c r="A22" s="154"/>
      <c r="B22" s="200"/>
      <c r="C22" s="200"/>
      <c r="D22" s="188"/>
      <c r="E22" s="189"/>
      <c r="F22" s="190"/>
      <c r="G22" s="28"/>
      <c r="H22" s="29"/>
      <c r="I22" s="37" t="s">
        <v>65</v>
      </c>
      <c r="J22" s="38"/>
      <c r="K22" s="29"/>
      <c r="L22" s="29"/>
      <c r="M22" s="29"/>
      <c r="N22" s="29" t="s">
        <v>66</v>
      </c>
      <c r="O22" s="29"/>
      <c r="P22" s="29"/>
      <c r="Q22" s="60" t="s">
        <v>67</v>
      </c>
      <c r="R22" s="87"/>
      <c r="S22" s="87"/>
      <c r="T22" s="87"/>
      <c r="U22" s="87"/>
      <c r="V22" s="87"/>
      <c r="W22" s="87"/>
      <c r="X22" s="29" t="s">
        <v>68</v>
      </c>
      <c r="Y22" s="29"/>
      <c r="Z22" s="45" t="s">
        <v>69</v>
      </c>
      <c r="AA22" s="45"/>
      <c r="AB22" s="29"/>
      <c r="AC22" s="128"/>
      <c r="AD22" s="128"/>
      <c r="AE22" s="128"/>
      <c r="AF22" s="29" t="s">
        <v>70</v>
      </c>
      <c r="AG22" s="183" t="s">
        <v>71</v>
      </c>
      <c r="AH22" s="183"/>
      <c r="AI22" s="183"/>
      <c r="AJ22" s="184"/>
      <c r="AK22" s="184"/>
      <c r="AL22" s="131" t="str">
        <f>IF(AND($AM$21=3,AJ22=""),"←選択","")</f>
        <v/>
      </c>
      <c r="AM22" s="132"/>
    </row>
    <row r="23" spans="1:52" ht="18.75" customHeight="1">
      <c r="A23" s="154"/>
      <c r="B23" s="200"/>
      <c r="C23" s="200"/>
      <c r="D23" s="194" t="s">
        <v>72</v>
      </c>
      <c r="E23" s="195"/>
      <c r="F23" s="196"/>
      <c r="G23" s="40"/>
      <c r="I23" s="25" t="s">
        <v>73</v>
      </c>
      <c r="O23" s="25" t="s">
        <v>74</v>
      </c>
      <c r="U23" s="25" t="s">
        <v>75</v>
      </c>
      <c r="AB23" s="25" t="s">
        <v>76</v>
      </c>
      <c r="AH23" s="25" t="s">
        <v>77</v>
      </c>
      <c r="AL23" s="30"/>
    </row>
    <row r="24" spans="1:52" ht="18.75" customHeight="1">
      <c r="A24" s="154"/>
      <c r="B24" s="200"/>
      <c r="C24" s="200"/>
      <c r="D24" s="197"/>
      <c r="E24" s="198"/>
      <c r="F24" s="199"/>
      <c r="G24" s="28"/>
      <c r="H24" s="29"/>
      <c r="I24" s="37" t="s">
        <v>78</v>
      </c>
      <c r="J24" s="38"/>
      <c r="K24" s="29"/>
      <c r="L24" s="29"/>
      <c r="M24" s="29"/>
      <c r="N24" s="29" t="s">
        <v>79</v>
      </c>
      <c r="O24" s="29"/>
      <c r="P24" s="29"/>
      <c r="Q24" s="29"/>
      <c r="R24" s="29"/>
      <c r="S24" s="29" t="s">
        <v>66</v>
      </c>
      <c r="T24" s="29"/>
      <c r="U24" s="29"/>
      <c r="V24" s="60" t="s">
        <v>67</v>
      </c>
      <c r="W24" s="87"/>
      <c r="X24" s="87"/>
      <c r="Y24" s="87"/>
      <c r="Z24" s="87"/>
      <c r="AA24" s="87"/>
      <c r="AB24" s="87"/>
      <c r="AC24" s="29" t="s">
        <v>68</v>
      </c>
      <c r="AD24" s="29"/>
      <c r="AE24" s="29"/>
      <c r="AF24" s="29"/>
      <c r="AG24" s="29"/>
      <c r="AH24" s="29"/>
      <c r="AI24" s="29"/>
      <c r="AJ24" s="29"/>
      <c r="AK24" s="29"/>
      <c r="AL24" s="39"/>
    </row>
    <row r="25" spans="1:52" ht="13.5">
      <c r="A25" s="154"/>
      <c r="B25" s="185" t="s">
        <v>80</v>
      </c>
      <c r="C25" s="186"/>
      <c r="D25" s="186"/>
      <c r="E25" s="186"/>
      <c r="F25" s="187"/>
      <c r="G25" s="128" t="s">
        <v>81</v>
      </c>
      <c r="H25" s="128"/>
      <c r="I25" s="128"/>
      <c r="J25" s="129"/>
      <c r="K25" s="180" t="s">
        <v>82</v>
      </c>
      <c r="L25" s="128"/>
      <c r="M25" s="128"/>
      <c r="N25" s="129"/>
      <c r="O25" s="180" t="s">
        <v>83</v>
      </c>
      <c r="P25" s="128"/>
      <c r="Q25" s="128"/>
      <c r="R25" s="128"/>
      <c r="S25" s="128"/>
      <c r="T25" s="128"/>
      <c r="U25" s="128"/>
      <c r="V25" s="128"/>
      <c r="W25" s="128"/>
      <c r="X25" s="128"/>
      <c r="Y25" s="128"/>
      <c r="Z25" s="128"/>
      <c r="AA25" s="128"/>
      <c r="AB25" s="128"/>
      <c r="AC25" s="128"/>
      <c r="AD25" s="128"/>
      <c r="AE25" s="128"/>
      <c r="AF25" s="129"/>
      <c r="AG25" s="128" t="s">
        <v>84</v>
      </c>
      <c r="AH25" s="128"/>
      <c r="AI25" s="128"/>
      <c r="AJ25" s="128"/>
      <c r="AK25" s="128"/>
      <c r="AL25" s="129"/>
    </row>
    <row r="26" spans="1:52" ht="18.75" customHeight="1">
      <c r="A26" s="154"/>
      <c r="B26" s="185"/>
      <c r="C26" s="186"/>
      <c r="D26" s="186"/>
      <c r="E26" s="186"/>
      <c r="F26" s="187"/>
      <c r="G26" s="333">
        <v>1080</v>
      </c>
      <c r="H26" s="334"/>
      <c r="I26" s="334"/>
      <c r="J26" s="35" t="s">
        <v>85</v>
      </c>
      <c r="K26" s="41" t="s">
        <v>86</v>
      </c>
      <c r="L26" s="335">
        <v>15</v>
      </c>
      <c r="M26" s="336"/>
      <c r="N26" s="336"/>
      <c r="O26" s="44"/>
      <c r="P26" s="34" t="s">
        <v>87</v>
      </c>
      <c r="S26" s="165" t="s">
        <v>27</v>
      </c>
      <c r="T26" s="165"/>
      <c r="U26" s="33"/>
      <c r="W26" s="34" t="s">
        <v>88</v>
      </c>
      <c r="Z26" s="130" t="s">
        <v>89</v>
      </c>
      <c r="AA26" s="130"/>
      <c r="AB26" s="130"/>
      <c r="AC26" s="42" t="s">
        <v>21</v>
      </c>
      <c r="AD26" s="125"/>
      <c r="AE26" s="125"/>
      <c r="AF26" s="43" t="s">
        <v>23</v>
      </c>
      <c r="AG26" s="212">
        <f>G26*L26</f>
        <v>16200</v>
      </c>
      <c r="AH26" s="213"/>
      <c r="AI26" s="213"/>
      <c r="AJ26" s="213"/>
      <c r="AK26" s="214"/>
      <c r="AL26" s="43" t="s">
        <v>85</v>
      </c>
      <c r="AM26" s="1">
        <v>2</v>
      </c>
    </row>
    <row r="27" spans="1:52" ht="18.75" customHeight="1">
      <c r="A27" s="154"/>
      <c r="B27" s="185"/>
      <c r="C27" s="186"/>
      <c r="D27" s="186"/>
      <c r="E27" s="186"/>
      <c r="F27" s="187"/>
      <c r="G27" s="62"/>
      <c r="H27" s="61"/>
      <c r="I27" s="126" t="s">
        <v>90</v>
      </c>
      <c r="J27" s="126"/>
      <c r="K27" s="126"/>
      <c r="L27" s="126"/>
      <c r="M27" s="126"/>
      <c r="N27" s="126"/>
      <c r="O27" s="126"/>
      <c r="P27" s="126"/>
      <c r="Q27" s="126"/>
      <c r="R27" s="126"/>
      <c r="S27" s="126"/>
      <c r="T27" s="126"/>
      <c r="U27" s="126"/>
      <c r="V27" s="126"/>
      <c r="W27" s="126"/>
      <c r="X27" s="126"/>
      <c r="Y27" s="126"/>
      <c r="Z27" s="126"/>
      <c r="AA27" s="126"/>
      <c r="AB27" s="126"/>
      <c r="AC27" s="126"/>
      <c r="AD27" s="126"/>
      <c r="AE27" s="126"/>
      <c r="AF27" s="126"/>
      <c r="AG27" s="126"/>
      <c r="AH27" s="126"/>
      <c r="AI27" s="126"/>
      <c r="AJ27" s="126"/>
      <c r="AK27" s="126"/>
      <c r="AL27" s="127"/>
      <c r="AM27" s="1">
        <v>2</v>
      </c>
    </row>
    <row r="28" spans="1:52" ht="18.75" customHeight="1">
      <c r="A28" s="154"/>
      <c r="B28" s="188"/>
      <c r="C28" s="189"/>
      <c r="D28" s="189"/>
      <c r="E28" s="189"/>
      <c r="F28" s="190"/>
      <c r="G28" s="28"/>
      <c r="H28" s="44"/>
      <c r="I28" s="126" t="s">
        <v>91</v>
      </c>
      <c r="J28" s="126"/>
      <c r="K28" s="126"/>
      <c r="L28" s="126"/>
      <c r="M28" s="126"/>
      <c r="N28" s="126"/>
      <c r="O28" s="126"/>
      <c r="P28" s="126"/>
      <c r="Q28" s="127"/>
      <c r="R28" s="151">
        <v>10000</v>
      </c>
      <c r="S28" s="152"/>
      <c r="T28" s="152"/>
      <c r="U28" s="152"/>
      <c r="V28" s="152"/>
      <c r="W28" s="152"/>
      <c r="X28" s="152"/>
      <c r="Y28" s="152"/>
      <c r="Z28" s="152"/>
      <c r="AA28" s="152"/>
      <c r="AB28" s="152"/>
      <c r="AC28" s="152"/>
      <c r="AD28" s="152"/>
      <c r="AE28" s="153"/>
      <c r="AF28" s="207" t="s">
        <v>92</v>
      </c>
      <c r="AG28" s="207"/>
      <c r="AH28" s="207"/>
      <c r="AI28" s="207"/>
      <c r="AJ28" s="207"/>
      <c r="AK28" s="207"/>
      <c r="AL28" s="207"/>
      <c r="AM28" s="24"/>
    </row>
    <row r="29" spans="1:52" ht="24.75" customHeight="1">
      <c r="A29" s="171" t="s">
        <v>93</v>
      </c>
      <c r="B29" s="172"/>
      <c r="C29" s="172"/>
      <c r="D29" s="172"/>
      <c r="E29" s="172"/>
      <c r="F29" s="173"/>
      <c r="G29" s="33"/>
      <c r="H29" s="32" t="s">
        <v>53</v>
      </c>
      <c r="I29" s="32"/>
      <c r="J29" s="32"/>
      <c r="K29" s="32"/>
      <c r="L29" s="33"/>
      <c r="M29" s="33"/>
      <c r="N29" s="33"/>
      <c r="O29" s="32" t="s">
        <v>54</v>
      </c>
      <c r="P29" s="32"/>
      <c r="Q29" s="32"/>
      <c r="R29" s="32"/>
      <c r="S29" s="34"/>
      <c r="T29" s="34"/>
      <c r="U29" s="33"/>
      <c r="V29" s="32" t="s">
        <v>55</v>
      </c>
      <c r="W29" s="32"/>
      <c r="X29" s="32"/>
      <c r="Y29" s="32"/>
      <c r="Z29" s="33"/>
      <c r="AA29" s="57" t="str">
        <f>IF($AM$29=0,"←ボタンを選択してください",IF($AM$29=1,"↓旅費詳細を入力してください","⑩については入力完了です"))</f>
        <v>↓旅費詳細を入力してください</v>
      </c>
      <c r="AB29" s="33"/>
      <c r="AC29" s="33"/>
      <c r="AD29" s="34"/>
      <c r="AF29" s="33"/>
      <c r="AG29" s="33"/>
      <c r="AH29" s="33"/>
      <c r="AI29" s="33"/>
      <c r="AJ29" s="33"/>
      <c r="AK29" s="33"/>
      <c r="AL29" s="43"/>
      <c r="AM29" s="1">
        <v>1</v>
      </c>
    </row>
    <row r="30" spans="1:52" ht="18.75" customHeight="1">
      <c r="A30" s="174"/>
      <c r="B30" s="175"/>
      <c r="C30" s="175"/>
      <c r="D30" s="175"/>
      <c r="E30" s="175"/>
      <c r="F30" s="176"/>
      <c r="G30" s="26"/>
      <c r="H30" s="44"/>
      <c r="I30" s="126" t="s">
        <v>94</v>
      </c>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7"/>
      <c r="AM30" s="1">
        <v>2</v>
      </c>
    </row>
    <row r="31" spans="1:52" ht="18.75" customHeight="1">
      <c r="A31" s="177"/>
      <c r="B31" s="178"/>
      <c r="C31" s="178"/>
      <c r="D31" s="178"/>
      <c r="E31" s="178"/>
      <c r="F31" s="179"/>
      <c r="G31" s="28"/>
      <c r="H31" s="28"/>
      <c r="I31" s="126" t="s">
        <v>95</v>
      </c>
      <c r="J31" s="126"/>
      <c r="K31" s="126"/>
      <c r="L31" s="126"/>
      <c r="M31" s="126"/>
      <c r="N31" s="126"/>
      <c r="O31" s="126"/>
      <c r="P31" s="126"/>
      <c r="Q31" s="127"/>
      <c r="R31" s="151"/>
      <c r="S31" s="152"/>
      <c r="T31" s="152"/>
      <c r="U31" s="152"/>
      <c r="V31" s="152"/>
      <c r="W31" s="152"/>
      <c r="X31" s="152"/>
      <c r="Y31" s="152"/>
      <c r="Z31" s="152"/>
      <c r="AA31" s="152"/>
      <c r="AB31" s="152"/>
      <c r="AC31" s="152"/>
      <c r="AD31" s="152"/>
      <c r="AE31" s="153"/>
      <c r="AF31" s="148" t="s">
        <v>92</v>
      </c>
      <c r="AG31" s="149"/>
      <c r="AH31" s="149"/>
      <c r="AI31" s="149"/>
      <c r="AJ31" s="149"/>
      <c r="AK31" s="149"/>
      <c r="AL31" s="150"/>
    </row>
    <row r="32" spans="1:52" ht="24" customHeight="1">
      <c r="A32" s="91" t="s">
        <v>96</v>
      </c>
      <c r="B32" s="92"/>
      <c r="C32" s="92"/>
      <c r="D32" s="92"/>
      <c r="E32" s="92"/>
      <c r="F32" s="93"/>
      <c r="G32" s="1"/>
      <c r="H32" s="29" t="s">
        <v>97</v>
      </c>
      <c r="I32" s="29"/>
      <c r="J32" s="29" t="s">
        <v>21</v>
      </c>
      <c r="K32" s="1"/>
      <c r="L32" s="29" t="s">
        <v>98</v>
      </c>
      <c r="M32" s="29"/>
      <c r="N32" s="29"/>
      <c r="O32" s="29"/>
      <c r="P32" s="29"/>
      <c r="Q32" s="1"/>
      <c r="R32" s="126" t="s">
        <v>99</v>
      </c>
      <c r="S32" s="126"/>
      <c r="T32" s="126"/>
      <c r="U32" s="126"/>
      <c r="V32" s="29"/>
      <c r="W32" s="1"/>
      <c r="X32" s="208" t="s">
        <v>100</v>
      </c>
      <c r="Y32" s="208"/>
      <c r="Z32" s="208"/>
      <c r="AA32" s="208"/>
      <c r="AB32" s="208"/>
      <c r="AC32" s="208"/>
      <c r="AD32" s="205" t="s">
        <v>101</v>
      </c>
      <c r="AE32" s="205"/>
      <c r="AF32" s="205"/>
      <c r="AG32" s="330"/>
      <c r="AH32" s="331"/>
      <c r="AI32" s="331"/>
      <c r="AJ32" s="331"/>
      <c r="AK32" s="331"/>
      <c r="AL32" s="332"/>
      <c r="AM32" s="1">
        <v>1</v>
      </c>
      <c r="AN32" s="1" t="b">
        <v>0</v>
      </c>
      <c r="AZ32" s="2"/>
    </row>
    <row r="33" spans="1:39" ht="22.5" customHeight="1">
      <c r="A33" s="136" t="s">
        <v>102</v>
      </c>
      <c r="B33" s="137"/>
      <c r="C33" s="137"/>
      <c r="D33" s="137"/>
      <c r="E33" s="137"/>
      <c r="F33" s="138"/>
      <c r="G33" s="328" t="s">
        <v>103</v>
      </c>
      <c r="H33" s="206"/>
      <c r="I33" s="206"/>
      <c r="J33" s="206"/>
      <c r="K33" s="206"/>
      <c r="L33" s="206"/>
      <c r="M33" s="123" t="s">
        <v>104</v>
      </c>
      <c r="N33" s="123"/>
      <c r="O33" s="123"/>
      <c r="P33" s="123"/>
      <c r="Q33" s="201"/>
      <c r="R33" s="201"/>
      <c r="S33" s="201"/>
      <c r="T33" s="201"/>
      <c r="U33" s="201"/>
      <c r="V33" s="201"/>
      <c r="W33" s="201"/>
      <c r="X33" s="201"/>
      <c r="Y33" s="201"/>
      <c r="Z33" s="201"/>
      <c r="AA33" s="201"/>
      <c r="AB33" s="201"/>
      <c r="AC33" s="201"/>
      <c r="AD33" s="201"/>
      <c r="AE33" s="201"/>
      <c r="AF33" s="201"/>
      <c r="AG33" s="201"/>
      <c r="AH33" s="201"/>
      <c r="AI33" s="201"/>
      <c r="AJ33" s="201"/>
      <c r="AK33" s="201"/>
      <c r="AL33" s="201"/>
    </row>
    <row r="34" spans="1:39" ht="22.5" customHeight="1">
      <c r="A34" s="139"/>
      <c r="B34" s="140"/>
      <c r="C34" s="140"/>
      <c r="D34" s="140"/>
      <c r="E34" s="140"/>
      <c r="F34" s="141"/>
      <c r="G34" s="1"/>
      <c r="H34" s="29" t="s">
        <v>105</v>
      </c>
      <c r="I34" s="29"/>
      <c r="J34" s="1"/>
      <c r="K34" s="128" t="s">
        <v>106</v>
      </c>
      <c r="L34" s="128"/>
      <c r="M34" s="123" t="s">
        <v>107</v>
      </c>
      <c r="N34" s="123"/>
      <c r="O34" s="123"/>
      <c r="P34" s="123"/>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1">
        <v>2</v>
      </c>
    </row>
    <row r="35" spans="1:39" ht="22.5" customHeight="1">
      <c r="A35" s="139"/>
      <c r="B35" s="140"/>
      <c r="C35" s="140"/>
      <c r="D35" s="140"/>
      <c r="E35" s="140"/>
      <c r="F35" s="141"/>
      <c r="G35" s="329" t="s">
        <v>311</v>
      </c>
      <c r="H35" s="230"/>
      <c r="I35" s="230"/>
      <c r="J35" s="230"/>
      <c r="K35" s="230"/>
      <c r="L35" s="230"/>
      <c r="M35" s="123" t="s">
        <v>109</v>
      </c>
      <c r="N35" s="123"/>
      <c r="O35" s="123"/>
      <c r="P35" s="123"/>
      <c r="Q35" s="319" t="s">
        <v>310</v>
      </c>
      <c r="R35" s="320"/>
      <c r="S35" s="320"/>
      <c r="T35" s="320"/>
      <c r="U35" s="320"/>
      <c r="V35" s="320"/>
      <c r="W35" s="320"/>
      <c r="X35" s="321"/>
      <c r="Y35" s="123" t="s">
        <v>110</v>
      </c>
      <c r="Z35" s="123"/>
      <c r="AA35" s="123"/>
      <c r="AB35" s="123"/>
      <c r="AC35" s="319" t="s">
        <v>312</v>
      </c>
      <c r="AD35" s="320"/>
      <c r="AE35" s="320"/>
      <c r="AF35" s="320"/>
      <c r="AG35" s="320"/>
      <c r="AH35" s="320"/>
      <c r="AI35" s="320"/>
      <c r="AJ35" s="320"/>
      <c r="AK35" s="320"/>
      <c r="AL35" s="321"/>
    </row>
    <row r="36" spans="1:39" ht="22.5" customHeight="1">
      <c r="A36" s="139"/>
      <c r="B36" s="140"/>
      <c r="C36" s="140"/>
      <c r="D36" s="140"/>
      <c r="E36" s="140"/>
      <c r="F36" s="141"/>
      <c r="G36" s="180"/>
      <c r="H36" s="128"/>
      <c r="I36" s="128"/>
      <c r="J36" s="128"/>
      <c r="K36" s="128"/>
      <c r="L36" s="128"/>
      <c r="M36" s="124" t="s">
        <v>111</v>
      </c>
      <c r="N36" s="124"/>
      <c r="O36" s="124"/>
      <c r="P36" s="124"/>
      <c r="Q36" s="322" t="s">
        <v>313</v>
      </c>
      <c r="R36" s="323"/>
      <c r="S36" s="323"/>
      <c r="T36" s="323"/>
      <c r="U36" s="323"/>
      <c r="V36" s="323"/>
      <c r="W36" s="323"/>
      <c r="X36" s="323"/>
      <c r="Y36" s="323"/>
      <c r="Z36" s="323"/>
      <c r="AA36" s="323"/>
      <c r="AB36" s="323"/>
      <c r="AC36" s="323"/>
      <c r="AD36" s="323"/>
      <c r="AE36" s="323"/>
      <c r="AF36" s="323"/>
      <c r="AG36" s="323"/>
      <c r="AH36" s="323"/>
      <c r="AI36" s="323"/>
      <c r="AJ36" s="323"/>
      <c r="AK36" s="323"/>
      <c r="AL36" s="323"/>
    </row>
    <row r="37" spans="1:39" ht="21.75" customHeight="1">
      <c r="A37" s="139"/>
      <c r="B37" s="140"/>
      <c r="C37" s="140"/>
      <c r="D37" s="140"/>
      <c r="E37" s="140"/>
      <c r="F37" s="141"/>
      <c r="G37" s="164" t="s">
        <v>112</v>
      </c>
      <c r="H37" s="165"/>
      <c r="I37" s="165"/>
      <c r="J37" s="165"/>
      <c r="K37" s="165"/>
      <c r="L37" s="165"/>
      <c r="M37" s="165"/>
      <c r="N37" s="165"/>
      <c r="O37" s="165"/>
      <c r="P37" s="166"/>
      <c r="Q37" s="344" t="s">
        <v>320</v>
      </c>
      <c r="R37" s="345"/>
      <c r="S37" s="345"/>
      <c r="T37" s="346"/>
      <c r="U37" s="226" t="str">
        <f>IF($AM$21=14,"※承認された最新の実施計画書、同意書、参加者募集チラシを添付","")</f>
        <v>※承認された最新の実施計画書、同意書、参加者募集チラシを添付</v>
      </c>
      <c r="V37" s="227"/>
      <c r="W37" s="227"/>
      <c r="X37" s="227"/>
      <c r="Y37" s="227"/>
      <c r="Z37" s="227"/>
      <c r="AA37" s="227"/>
      <c r="AB37" s="227"/>
      <c r="AC37" s="227"/>
      <c r="AD37" s="227"/>
      <c r="AE37" s="227"/>
      <c r="AF37" s="227"/>
      <c r="AG37" s="227"/>
      <c r="AH37" s="227"/>
      <c r="AI37" s="227"/>
      <c r="AJ37" s="227"/>
      <c r="AK37" s="227"/>
      <c r="AL37" s="228"/>
    </row>
    <row r="38" spans="1:39" ht="22.5" customHeight="1">
      <c r="A38" s="94"/>
      <c r="B38" s="95"/>
      <c r="C38" s="95"/>
      <c r="D38" s="95"/>
      <c r="E38" s="95"/>
      <c r="F38" s="96"/>
      <c r="G38" s="324" t="s">
        <v>322</v>
      </c>
      <c r="H38" s="325"/>
      <c r="I38" s="325"/>
      <c r="J38" s="325"/>
      <c r="K38" s="325"/>
      <c r="L38" s="325"/>
      <c r="M38" s="325"/>
      <c r="N38" s="325"/>
      <c r="O38" s="325"/>
      <c r="P38" s="325"/>
      <c r="Q38" s="325"/>
      <c r="R38" s="325"/>
      <c r="S38" s="325"/>
      <c r="T38" s="325"/>
      <c r="U38" s="325"/>
      <c r="V38" s="325"/>
      <c r="W38" s="325"/>
      <c r="X38" s="325"/>
      <c r="Y38" s="325"/>
      <c r="Z38" s="325"/>
      <c r="AA38" s="325"/>
      <c r="AB38" s="325"/>
      <c r="AC38" s="325"/>
      <c r="AD38" s="325"/>
      <c r="AE38" s="325"/>
      <c r="AF38" s="325"/>
      <c r="AG38" s="325"/>
      <c r="AH38" s="325"/>
      <c r="AI38" s="325"/>
      <c r="AJ38" s="325"/>
      <c r="AK38" s="325"/>
      <c r="AL38" s="326"/>
    </row>
    <row r="39" spans="1:39" ht="18.75" customHeight="1">
      <c r="B39" s="25" t="s">
        <v>113</v>
      </c>
    </row>
    <row r="40" spans="1:39" ht="18.75" customHeight="1">
      <c r="A40" s="25" t="s">
        <v>114</v>
      </c>
      <c r="C40" s="327">
        <v>8</v>
      </c>
      <c r="D40" s="327"/>
      <c r="E40" s="25" t="s">
        <v>115</v>
      </c>
      <c r="F40" s="327">
        <v>4</v>
      </c>
      <c r="G40" s="327"/>
      <c r="H40" s="25" t="s">
        <v>116</v>
      </c>
      <c r="I40" s="327">
        <v>1</v>
      </c>
      <c r="J40" s="327"/>
      <c r="K40" s="25" t="s">
        <v>117</v>
      </c>
      <c r="M40" s="25" t="s">
        <v>118</v>
      </c>
      <c r="O40" s="317" t="s">
        <v>119</v>
      </c>
      <c r="P40" s="317"/>
      <c r="Q40" s="317"/>
      <c r="R40" s="317"/>
      <c r="S40" s="317"/>
      <c r="T40" s="317"/>
      <c r="U40" s="317"/>
      <c r="V40" s="317"/>
      <c r="W40" s="317"/>
      <c r="X40" s="317"/>
      <c r="Y40" s="317"/>
      <c r="Z40" s="217" t="s">
        <v>120</v>
      </c>
      <c r="AA40" s="217"/>
      <c r="AB40" s="317" t="s">
        <v>314</v>
      </c>
      <c r="AC40" s="317"/>
      <c r="AD40" s="317"/>
      <c r="AE40" s="317"/>
      <c r="AF40" s="317"/>
      <c r="AG40" s="317"/>
      <c r="AH40" s="317"/>
      <c r="AI40" s="317"/>
      <c r="AJ40" s="317"/>
      <c r="AK40" s="317"/>
      <c r="AL40" s="317"/>
    </row>
    <row r="41" spans="1:39" ht="18.75" customHeight="1">
      <c r="M41" s="25" t="s">
        <v>16</v>
      </c>
      <c r="O41" s="318" t="s">
        <v>303</v>
      </c>
      <c r="P41" s="318"/>
      <c r="Q41" s="318"/>
      <c r="R41" s="318"/>
      <c r="S41" s="318"/>
      <c r="T41" s="318"/>
      <c r="U41" s="318"/>
      <c r="V41" s="318"/>
      <c r="W41" s="318"/>
      <c r="X41" s="318"/>
      <c r="Y41" s="318"/>
      <c r="Z41" s="318"/>
      <c r="AA41" s="318"/>
      <c r="AB41" s="318"/>
      <c r="AC41" s="318"/>
      <c r="AD41" s="318"/>
      <c r="AE41" s="318"/>
      <c r="AF41" s="318"/>
      <c r="AG41" s="318"/>
      <c r="AH41" s="318"/>
      <c r="AI41" s="318"/>
      <c r="AJ41" s="318"/>
      <c r="AK41" s="318"/>
      <c r="AL41" s="318"/>
    </row>
    <row r="42" spans="1:39" ht="18.75" customHeight="1">
      <c r="M42" s="25" t="s">
        <v>109</v>
      </c>
      <c r="O42" s="318" t="s">
        <v>310</v>
      </c>
      <c r="P42" s="318"/>
      <c r="Q42" s="318"/>
      <c r="R42" s="318"/>
      <c r="S42" s="318"/>
      <c r="T42" s="318"/>
      <c r="U42" s="318"/>
      <c r="V42" s="318"/>
      <c r="W42" s="318"/>
      <c r="X42" s="318"/>
      <c r="Y42" s="318"/>
      <c r="Z42" s="318"/>
      <c r="AA42" s="318"/>
      <c r="AB42" s="318"/>
      <c r="AC42" s="318"/>
      <c r="AD42" s="318"/>
      <c r="AE42" s="318"/>
      <c r="AF42" s="318"/>
      <c r="AG42" s="318"/>
      <c r="AH42" s="318"/>
      <c r="AI42" s="318"/>
      <c r="AJ42" s="318"/>
      <c r="AK42" s="318"/>
      <c r="AL42" s="318"/>
    </row>
  </sheetData>
  <sheetProtection formatCells="0" selectLockedCells="1"/>
  <mergeCells count="120">
    <mergeCell ref="O41:AL41"/>
    <mergeCell ref="O42:AL42"/>
    <mergeCell ref="G37:P37"/>
    <mergeCell ref="Q37:T37"/>
    <mergeCell ref="U37:AL37"/>
    <mergeCell ref="G38:AL38"/>
    <mergeCell ref="C40:D40"/>
    <mergeCell ref="F40:G40"/>
    <mergeCell ref="I40:J40"/>
    <mergeCell ref="O40:Y40"/>
    <mergeCell ref="Z40:AA40"/>
    <mergeCell ref="AB40:AL40"/>
    <mergeCell ref="A32:F32"/>
    <mergeCell ref="R32:U32"/>
    <mergeCell ref="X32:AC32"/>
    <mergeCell ref="AD32:AF32"/>
    <mergeCell ref="AG32:AL32"/>
    <mergeCell ref="A33:F38"/>
    <mergeCell ref="G33:L33"/>
    <mergeCell ref="M33:P33"/>
    <mergeCell ref="Q33:AL33"/>
    <mergeCell ref="K34:L34"/>
    <mergeCell ref="M34:P34"/>
    <mergeCell ref="Q34:AL34"/>
    <mergeCell ref="G35:L36"/>
    <mergeCell ref="M35:P35"/>
    <mergeCell ref="Q35:X35"/>
    <mergeCell ref="Y35:AB35"/>
    <mergeCell ref="AC35:AL35"/>
    <mergeCell ref="M36:P36"/>
    <mergeCell ref="Q36:AL36"/>
    <mergeCell ref="A29:F31"/>
    <mergeCell ref="I30:AL30"/>
    <mergeCell ref="I31:Q31"/>
    <mergeCell ref="R31:AE31"/>
    <mergeCell ref="AF31:AL31"/>
    <mergeCell ref="L26:N26"/>
    <mergeCell ref="S26:T26"/>
    <mergeCell ref="Z26:AB26"/>
    <mergeCell ref="AD26:AE26"/>
    <mergeCell ref="AG26:AK26"/>
    <mergeCell ref="I27:AL27"/>
    <mergeCell ref="A20:A28"/>
    <mergeCell ref="B20:F20"/>
    <mergeCell ref="B21:C24"/>
    <mergeCell ref="D21:F22"/>
    <mergeCell ref="R22:W22"/>
    <mergeCell ref="AC22:AE22"/>
    <mergeCell ref="AG22:AI22"/>
    <mergeCell ref="AJ22:AK22"/>
    <mergeCell ref="AL22:AM22"/>
    <mergeCell ref="D23:F24"/>
    <mergeCell ref="W24:AB24"/>
    <mergeCell ref="B25:F28"/>
    <mergeCell ref="G25:J25"/>
    <mergeCell ref="K25:N25"/>
    <mergeCell ref="O25:AF25"/>
    <mergeCell ref="AG25:AL25"/>
    <mergeCell ref="G26:I26"/>
    <mergeCell ref="I28:Q28"/>
    <mergeCell ref="R28:AE28"/>
    <mergeCell ref="AF28:AL28"/>
    <mergeCell ref="G17:J17"/>
    <mergeCell ref="K17:P17"/>
    <mergeCell ref="Q17:AL17"/>
    <mergeCell ref="G18:J18"/>
    <mergeCell ref="K18:P18"/>
    <mergeCell ref="Q18:AL18"/>
    <mergeCell ref="A14:F19"/>
    <mergeCell ref="G14:J14"/>
    <mergeCell ref="K14:P14"/>
    <mergeCell ref="Q14:AL14"/>
    <mergeCell ref="G15:J15"/>
    <mergeCell ref="K15:P15"/>
    <mergeCell ref="Q15:AL15"/>
    <mergeCell ref="G16:J16"/>
    <mergeCell ref="K16:P16"/>
    <mergeCell ref="Q16:AL16"/>
    <mergeCell ref="G19:J19"/>
    <mergeCell ref="K19:P19"/>
    <mergeCell ref="Q19:AL19"/>
    <mergeCell ref="A12:F13"/>
    <mergeCell ref="H12:K12"/>
    <mergeCell ref="N12:O12"/>
    <mergeCell ref="Q12:S12"/>
    <mergeCell ref="T12:AL12"/>
    <mergeCell ref="J13:P13"/>
    <mergeCell ref="Q13:S13"/>
    <mergeCell ref="T13:AL13"/>
    <mergeCell ref="V9:AC9"/>
    <mergeCell ref="AF9:AG9"/>
    <mergeCell ref="G10:I10"/>
    <mergeCell ref="J10:Q10"/>
    <mergeCell ref="S10:U10"/>
    <mergeCell ref="V10:AC10"/>
    <mergeCell ref="AF10:AG10"/>
    <mergeCell ref="A1:AL1"/>
    <mergeCell ref="A3:F5"/>
    <mergeCell ref="G3:AL4"/>
    <mergeCell ref="H5:L5"/>
    <mergeCell ref="O5:S5"/>
    <mergeCell ref="V5:Z5"/>
    <mergeCell ref="C8:F8"/>
    <mergeCell ref="G8:T8"/>
    <mergeCell ref="A9:F11"/>
    <mergeCell ref="G9:I9"/>
    <mergeCell ref="J9:Q9"/>
    <mergeCell ref="S9:U9"/>
    <mergeCell ref="G11:R11"/>
    <mergeCell ref="S11:AL11"/>
    <mergeCell ref="A6:A8"/>
    <mergeCell ref="B6:F6"/>
    <mergeCell ref="G6:T6"/>
    <mergeCell ref="U6:X6"/>
    <mergeCell ref="Y6:AL6"/>
    <mergeCell ref="B7:B8"/>
    <mergeCell ref="C7:F7"/>
    <mergeCell ref="G7:T7"/>
    <mergeCell ref="U7:X8"/>
    <mergeCell ref="Y7:AL8"/>
  </mergeCells>
  <phoneticPr fontId="14"/>
  <conditionalFormatting sqref="G12:N12">
    <cfRule type="expression" dxfId="58" priority="59">
      <formula>$AM$12&gt;0</formula>
    </cfRule>
  </conditionalFormatting>
  <conditionalFormatting sqref="T12:AL13">
    <cfRule type="expression" dxfId="57" priority="58">
      <formula>AND($J$13&lt;&gt;"",$AM$12=2)</formula>
    </cfRule>
  </conditionalFormatting>
  <conditionalFormatting sqref="T12">
    <cfRule type="expression" dxfId="56" priority="57">
      <formula>AND($AM$12=2,$T$12="")</formula>
    </cfRule>
  </conditionalFormatting>
  <conditionalFormatting sqref="T13:AL13">
    <cfRule type="expression" dxfId="55" priority="56">
      <formula>AND($AM$12=2,$T$13="")</formula>
    </cfRule>
  </conditionalFormatting>
  <conditionalFormatting sqref="AB5 N5 G5">
    <cfRule type="expression" dxfId="54" priority="55">
      <formula>$AM$5&gt;0</formula>
    </cfRule>
  </conditionalFormatting>
  <conditionalFormatting sqref="H21:AL21 H23:AL23 H22:R22 X22:Y22 H24:U24 AC24:AL24">
    <cfRule type="expression" dxfId="53" priority="53">
      <formula>AND($AM$20=1,$AM$21&gt;0)</formula>
    </cfRule>
    <cfRule type="expression" dxfId="52" priority="54">
      <formula>AND($AM$20=1,$AM$21=0)</formula>
    </cfRule>
  </conditionalFormatting>
  <conditionalFormatting sqref="V24:W24">
    <cfRule type="expression" dxfId="51" priority="51">
      <formula>AND($AM$20=1,$AM$21&gt;0)</formula>
    </cfRule>
    <cfRule type="expression" dxfId="50" priority="52">
      <formula>AND($AM$20=1,$AM$21=0)</formula>
    </cfRule>
  </conditionalFormatting>
  <conditionalFormatting sqref="R22:W22">
    <cfRule type="expression" dxfId="49" priority="49">
      <formula>$R$22&lt;&gt;""</formula>
    </cfRule>
    <cfRule type="expression" dxfId="48" priority="50">
      <formula>$AM$21=9</formula>
    </cfRule>
  </conditionalFormatting>
  <conditionalFormatting sqref="W24:AB24">
    <cfRule type="expression" dxfId="47" priority="47">
      <formula>$W$24&lt;&gt;""</formula>
    </cfRule>
    <cfRule type="expression" dxfId="46" priority="48">
      <formula>$AM$21=17</formula>
    </cfRule>
  </conditionalFormatting>
  <conditionalFormatting sqref="G21:AL21 G28:AL28 G27:I27 O26:AC26 AF26:AL26 G23:AL25 G22:Y22">
    <cfRule type="expression" dxfId="45" priority="42">
      <formula>OR($AM$20=3,$AM$20=2)</formula>
    </cfRule>
  </conditionalFormatting>
  <conditionalFormatting sqref="H27:H28 O26 R26 V26 Y26">
    <cfRule type="expression" dxfId="44" priority="60">
      <formula>$AM$20=1</formula>
    </cfRule>
  </conditionalFormatting>
  <conditionalFormatting sqref="O26 R26 V26 Y26">
    <cfRule type="expression" dxfId="43" priority="45">
      <formula>$AM$26&gt;0</formula>
    </cfRule>
  </conditionalFormatting>
  <conditionalFormatting sqref="H27:H28">
    <cfRule type="expression" dxfId="42" priority="46">
      <formula>$AM$27&gt;0</formula>
    </cfRule>
  </conditionalFormatting>
  <conditionalFormatting sqref="R28:AE28">
    <cfRule type="cellIs" dxfId="41" priority="43" operator="notEqual">
      <formula>""</formula>
    </cfRule>
    <cfRule type="expression" dxfId="40" priority="44">
      <formula>$AM$27=2</formula>
    </cfRule>
  </conditionalFormatting>
  <conditionalFormatting sqref="G20 N20 U20">
    <cfRule type="expression" dxfId="39" priority="41">
      <formula>$AM$20=0</formula>
    </cfRule>
  </conditionalFormatting>
  <conditionalFormatting sqref="G29 N29 U29">
    <cfRule type="expression" dxfId="38" priority="40">
      <formula>$AM$29=0</formula>
    </cfRule>
  </conditionalFormatting>
  <conditionalFormatting sqref="R31:AE31">
    <cfRule type="cellIs" dxfId="37" priority="36" operator="notEqual">
      <formula>""</formula>
    </cfRule>
    <cfRule type="expression" dxfId="36" priority="37">
      <formula>$AM$30=2</formula>
    </cfRule>
  </conditionalFormatting>
  <conditionalFormatting sqref="G30:AL31">
    <cfRule type="expression" dxfId="35" priority="35">
      <formula>$AM$29&gt;1</formula>
    </cfRule>
  </conditionalFormatting>
  <conditionalFormatting sqref="G32:I32 Q32:R32 W32:AC32">
    <cfRule type="expression" dxfId="34" priority="34">
      <formula>$AM$32=0</formula>
    </cfRule>
  </conditionalFormatting>
  <conditionalFormatting sqref="AG32:AL32">
    <cfRule type="cellIs" dxfId="33" priority="32" operator="notEqual">
      <formula>""</formula>
    </cfRule>
    <cfRule type="expression" dxfId="32" priority="33">
      <formula>$AM$32=3</formula>
    </cfRule>
  </conditionalFormatting>
  <conditionalFormatting sqref="G34:L34">
    <cfRule type="expression" dxfId="31" priority="31">
      <formula>$AM$34=0</formula>
    </cfRule>
  </conditionalFormatting>
  <conditionalFormatting sqref="Q33:AL34">
    <cfRule type="cellIs" dxfId="30" priority="29" operator="notEqual">
      <formula>""</formula>
    </cfRule>
    <cfRule type="expression" dxfId="29" priority="30">
      <formula>$AM$34=1</formula>
    </cfRule>
  </conditionalFormatting>
  <conditionalFormatting sqref="M33:AL34">
    <cfRule type="expression" dxfId="28" priority="28">
      <formula>$AM$34=2</formula>
    </cfRule>
  </conditionalFormatting>
  <conditionalFormatting sqref="H30:AL31">
    <cfRule type="expression" dxfId="27" priority="38">
      <formula>$AM$30&gt;0</formula>
    </cfRule>
    <cfRule type="expression" dxfId="26" priority="39">
      <formula>$AM$29=1</formula>
    </cfRule>
  </conditionalFormatting>
  <conditionalFormatting sqref="U5">
    <cfRule type="expression" dxfId="25" priority="27">
      <formula>$AM$5&gt;0</formula>
    </cfRule>
  </conditionalFormatting>
  <conditionalFormatting sqref="G3:AL4">
    <cfRule type="cellIs" dxfId="24" priority="26" operator="notEqual">
      <formula>""</formula>
    </cfRule>
  </conditionalFormatting>
  <conditionalFormatting sqref="G6:T6 G7:G8">
    <cfRule type="cellIs" dxfId="23" priority="25" operator="notEqual">
      <formula>""</formula>
    </cfRule>
  </conditionalFormatting>
  <conditionalFormatting sqref="Y6">
    <cfRule type="cellIs" dxfId="22" priority="24" operator="notEqual">
      <formula>""</formula>
    </cfRule>
  </conditionalFormatting>
  <conditionalFormatting sqref="Y7">
    <cfRule type="cellIs" dxfId="21" priority="23" operator="notEqual">
      <formula>""</formula>
    </cfRule>
  </conditionalFormatting>
  <conditionalFormatting sqref="J9:Q10 V9:AC10">
    <cfRule type="cellIs" dxfId="20" priority="22" operator="notEqual">
      <formula>""</formula>
    </cfRule>
  </conditionalFormatting>
  <conditionalFormatting sqref="J13">
    <cfRule type="expression" dxfId="19" priority="21">
      <formula>AND($AM$12=1,$J$13="")</formula>
    </cfRule>
  </conditionalFormatting>
  <conditionalFormatting sqref="J13:P13">
    <cfRule type="expression" priority="20">
      <formula>AND($J$13&lt;&gt;"",$AM$12=1)</formula>
    </cfRule>
  </conditionalFormatting>
  <conditionalFormatting sqref="K15:AL19">
    <cfRule type="cellIs" dxfId="18" priority="19" operator="notEqual">
      <formula>""</formula>
    </cfRule>
  </conditionalFormatting>
  <conditionalFormatting sqref="G26:I26 L26:N26">
    <cfRule type="cellIs" dxfId="17" priority="17" operator="notEqual">
      <formula>""</formula>
    </cfRule>
  </conditionalFormatting>
  <conditionalFormatting sqref="G26:N26">
    <cfRule type="expression" dxfId="16" priority="16">
      <formula>OR($AM$20=3,$AM$20=2)</formula>
    </cfRule>
  </conditionalFormatting>
  <conditionalFormatting sqref="G26:I26 L26:N26">
    <cfRule type="expression" dxfId="15" priority="18">
      <formula>$AM$20=1</formula>
    </cfRule>
  </conditionalFormatting>
  <conditionalFormatting sqref="AD26:AE26">
    <cfRule type="expression" dxfId="14" priority="13">
      <formula>OR($AM$20=3,$AM$20=2)</formula>
    </cfRule>
  </conditionalFormatting>
  <conditionalFormatting sqref="AD26:AE26">
    <cfRule type="cellIs" dxfId="13" priority="14" operator="notEqual">
      <formula>""</formula>
    </cfRule>
    <cfRule type="expression" dxfId="12" priority="15">
      <formula>AND($AM$20=1,$AM$26=4)</formula>
    </cfRule>
  </conditionalFormatting>
  <conditionalFormatting sqref="Q36:AL36 Q35 AC35">
    <cfRule type="cellIs" dxfId="11" priority="12" operator="notEqual">
      <formula>""</formula>
    </cfRule>
  </conditionalFormatting>
  <conditionalFormatting sqref="C40:D40 F40:G40 I40:J40 O41:AL42 O40 Z40 AB40">
    <cfRule type="cellIs" dxfId="10" priority="11" operator="notEqual">
      <formula>""</formula>
    </cfRule>
  </conditionalFormatting>
  <conditionalFormatting sqref="Z22:AC22 AF22:AG22 AJ22 AL22">
    <cfRule type="expression" dxfId="9" priority="9">
      <formula>AND($AM$20=1,$AM$21&gt;0)</formula>
    </cfRule>
    <cfRule type="expression" dxfId="8" priority="10">
      <formula>AND($AM$20=1,$AM$21=0)</formula>
    </cfRule>
  </conditionalFormatting>
  <conditionalFormatting sqref="Z22:AC22 AF22:AG22 AJ22 AL22">
    <cfRule type="expression" dxfId="7" priority="3">
      <formula>OR($AM$20=3,$AM$20=2)</formula>
    </cfRule>
  </conditionalFormatting>
  <conditionalFormatting sqref="AC22">
    <cfRule type="expression" dxfId="6" priority="5">
      <formula>OR($AM$21=1,$AM$21=3,$AM$21=6)</formula>
    </cfRule>
    <cfRule type="expression" dxfId="5" priority="6">
      <formula>$AC$22&lt;&gt;""</formula>
    </cfRule>
    <cfRule type="expression" dxfId="4" priority="7">
      <formula>AND($AM$20=1,$AM$21&lt;9)</formula>
    </cfRule>
  </conditionalFormatting>
  <conditionalFormatting sqref="AJ22:AK22">
    <cfRule type="expression" dxfId="3" priority="4">
      <formula>$AI$22&lt;&gt;""</formula>
    </cfRule>
    <cfRule type="expression" dxfId="2" priority="8">
      <formula>$AM$21=3</formula>
    </cfRule>
  </conditionalFormatting>
  <dataValidations count="5">
    <dataValidation type="list" allowBlank="1" showInputMessage="1" showErrorMessage="1" sqref="AJ22:AK22" xr:uid="{055AF74E-A61C-4BDF-ABAE-66249AB31065}">
      <formula1>"有,無"</formula1>
    </dataValidation>
    <dataValidation type="list" allowBlank="1" showInputMessage="1" showErrorMessage="1" sqref="L29 G28:G31 G13:G25 L31 K34 L14:L25" xr:uid="{53F3D8D3-6A4C-4AFB-8572-E4ECCBBD19AE}">
      <formula1>"□,■"</formula1>
    </dataValidation>
    <dataValidation operator="greaterThanOrEqual" errorTitle="日付のみ入力可能です" error="yyyy/mm/dd形式で入力してください" promptTitle="yyyy/mm/dd形式で入力してください" sqref="G9:G10 S9:S10" xr:uid="{04EFAC4D-8DAF-4475-8A19-AC66040CCF04}"/>
    <dataValidation type="date" operator="greaterThanOrEqual" showInputMessage="1" showErrorMessage="1" errorTitle="日付のみ入力可能です" error="yyyy/mm/dd形式で入力してください" promptTitle="yyyy/mm/dd形式で入力してください" sqref="J9:Q9 V9:AC9" xr:uid="{75B2BABB-ED9D-42D0-9D52-F9BD95821E67}">
      <formula1>36526</formula1>
    </dataValidation>
    <dataValidation type="time" showInputMessage="1" showErrorMessage="1" errorTitle="時刻のみ入力可能です" error="hh:mm形式で入力してください" promptTitle="hh:mm形式で入力してください" sqref="J10:Q10 V10:AC10" xr:uid="{52045B80-82E7-4FC2-81A1-5D24734A9473}">
      <formula1>0</formula1>
      <formula2>0.999988425925926</formula2>
    </dataValidation>
  </dataValidations>
  <hyperlinks>
    <hyperlink ref="Q36" r:id="rId1" xr:uid="{81785F7B-6DF1-43E3-891B-1979EE4E8AEC}"/>
  </hyperlinks>
  <pageMargins left="0.43307086614173229" right="0.35433070866141736" top="0.6692913385826772" bottom="0.43307086614173229" header="0.31496062992125984" footer="0.31496062992125984"/>
  <pageSetup paperSize="9" scale="96"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3793" r:id="rId5" name="Option Button 1">
              <controlPr defaultSize="0" autoFill="0" autoLine="0" autoPict="0">
                <anchor moveWithCells="1">
                  <from>
                    <xdr:col>6</xdr:col>
                    <xdr:colOff>0</xdr:colOff>
                    <xdr:row>19</xdr:row>
                    <xdr:rowOff>38100</xdr:rowOff>
                  </from>
                  <to>
                    <xdr:col>10</xdr:col>
                    <xdr:colOff>0</xdr:colOff>
                    <xdr:row>19</xdr:row>
                    <xdr:rowOff>276225</xdr:rowOff>
                  </to>
                </anchor>
              </controlPr>
            </control>
          </mc:Choice>
        </mc:AlternateContent>
        <mc:AlternateContent xmlns:mc="http://schemas.openxmlformats.org/markup-compatibility/2006">
          <mc:Choice Requires="x14">
            <control shapeId="33794" r:id="rId6" name="Option Button 2">
              <controlPr defaultSize="0" autoFill="0" autoLine="0" autoPict="0">
                <anchor moveWithCells="1">
                  <from>
                    <xdr:col>13</xdr:col>
                    <xdr:colOff>0</xdr:colOff>
                    <xdr:row>19</xdr:row>
                    <xdr:rowOff>38100</xdr:rowOff>
                  </from>
                  <to>
                    <xdr:col>17</xdr:col>
                    <xdr:colOff>0</xdr:colOff>
                    <xdr:row>19</xdr:row>
                    <xdr:rowOff>276225</xdr:rowOff>
                  </to>
                </anchor>
              </controlPr>
            </control>
          </mc:Choice>
        </mc:AlternateContent>
        <mc:AlternateContent xmlns:mc="http://schemas.openxmlformats.org/markup-compatibility/2006">
          <mc:Choice Requires="x14">
            <control shapeId="33795" r:id="rId7" name="Option Button 3">
              <controlPr defaultSize="0" autoFill="0" autoLine="0" autoPict="0">
                <anchor moveWithCells="1">
                  <from>
                    <xdr:col>20</xdr:col>
                    <xdr:colOff>0</xdr:colOff>
                    <xdr:row>19</xdr:row>
                    <xdr:rowOff>38100</xdr:rowOff>
                  </from>
                  <to>
                    <xdr:col>24</xdr:col>
                    <xdr:colOff>0</xdr:colOff>
                    <xdr:row>19</xdr:row>
                    <xdr:rowOff>276225</xdr:rowOff>
                  </to>
                </anchor>
              </controlPr>
            </control>
          </mc:Choice>
        </mc:AlternateContent>
        <mc:AlternateContent xmlns:mc="http://schemas.openxmlformats.org/markup-compatibility/2006">
          <mc:Choice Requires="x14">
            <control shapeId="33796" r:id="rId8" name="Option Button 4">
              <controlPr defaultSize="0" autoFill="0" autoLine="0" autoPict="0">
                <anchor moveWithCells="1">
                  <from>
                    <xdr:col>6</xdr:col>
                    <xdr:colOff>0</xdr:colOff>
                    <xdr:row>28</xdr:row>
                    <xdr:rowOff>19050</xdr:rowOff>
                  </from>
                  <to>
                    <xdr:col>10</xdr:col>
                    <xdr:colOff>0</xdr:colOff>
                    <xdr:row>28</xdr:row>
                    <xdr:rowOff>257175</xdr:rowOff>
                  </to>
                </anchor>
              </controlPr>
            </control>
          </mc:Choice>
        </mc:AlternateContent>
        <mc:AlternateContent xmlns:mc="http://schemas.openxmlformats.org/markup-compatibility/2006">
          <mc:Choice Requires="x14">
            <control shapeId="33797" r:id="rId9" name="Option Button 5">
              <controlPr defaultSize="0" autoFill="0" autoLine="0" autoPict="0">
                <anchor moveWithCells="1">
                  <from>
                    <xdr:col>13</xdr:col>
                    <xdr:colOff>0</xdr:colOff>
                    <xdr:row>28</xdr:row>
                    <xdr:rowOff>19050</xdr:rowOff>
                  </from>
                  <to>
                    <xdr:col>17</xdr:col>
                    <xdr:colOff>0</xdr:colOff>
                    <xdr:row>28</xdr:row>
                    <xdr:rowOff>257175</xdr:rowOff>
                  </to>
                </anchor>
              </controlPr>
            </control>
          </mc:Choice>
        </mc:AlternateContent>
        <mc:AlternateContent xmlns:mc="http://schemas.openxmlformats.org/markup-compatibility/2006">
          <mc:Choice Requires="x14">
            <control shapeId="33798" r:id="rId10" name="Option Button 6">
              <controlPr defaultSize="0" autoFill="0" autoLine="0" autoPict="0">
                <anchor moveWithCells="1">
                  <from>
                    <xdr:col>20</xdr:col>
                    <xdr:colOff>0</xdr:colOff>
                    <xdr:row>28</xdr:row>
                    <xdr:rowOff>19050</xdr:rowOff>
                  </from>
                  <to>
                    <xdr:col>24</xdr:col>
                    <xdr:colOff>0</xdr:colOff>
                    <xdr:row>28</xdr:row>
                    <xdr:rowOff>257175</xdr:rowOff>
                  </to>
                </anchor>
              </controlPr>
            </control>
          </mc:Choice>
        </mc:AlternateContent>
        <mc:AlternateContent xmlns:mc="http://schemas.openxmlformats.org/markup-compatibility/2006">
          <mc:Choice Requires="x14">
            <control shapeId="33799" r:id="rId11" name="Option Button 7">
              <controlPr defaultSize="0" autoFill="0" autoLine="0" autoPict="0">
                <anchor moveWithCells="1">
                  <from>
                    <xdr:col>5</xdr:col>
                    <xdr:colOff>190500</xdr:colOff>
                    <xdr:row>11</xdr:row>
                    <xdr:rowOff>19050</xdr:rowOff>
                  </from>
                  <to>
                    <xdr:col>7</xdr:col>
                    <xdr:colOff>104775</xdr:colOff>
                    <xdr:row>12</xdr:row>
                    <xdr:rowOff>0</xdr:rowOff>
                  </to>
                </anchor>
              </controlPr>
            </control>
          </mc:Choice>
        </mc:AlternateContent>
        <mc:AlternateContent xmlns:mc="http://schemas.openxmlformats.org/markup-compatibility/2006">
          <mc:Choice Requires="x14">
            <control shapeId="33800" r:id="rId12" name="Option Button 8">
              <controlPr defaultSize="0" autoFill="0" autoLine="0" autoPict="0">
                <anchor moveWithCells="1">
                  <from>
                    <xdr:col>12</xdr:col>
                    <xdr:colOff>0</xdr:colOff>
                    <xdr:row>11</xdr:row>
                    <xdr:rowOff>19050</xdr:rowOff>
                  </from>
                  <to>
                    <xdr:col>13</xdr:col>
                    <xdr:colOff>104775</xdr:colOff>
                    <xdr:row>12</xdr:row>
                    <xdr:rowOff>0</xdr:rowOff>
                  </to>
                </anchor>
              </controlPr>
            </control>
          </mc:Choice>
        </mc:AlternateContent>
        <mc:AlternateContent xmlns:mc="http://schemas.openxmlformats.org/markup-compatibility/2006">
          <mc:Choice Requires="x14">
            <control shapeId="33801" r:id="rId13" name="Group Box 9">
              <controlPr defaultSize="0" autoFill="0" autoPict="0">
                <anchor moveWithCells="1">
                  <from>
                    <xdr:col>5</xdr:col>
                    <xdr:colOff>114300</xdr:colOff>
                    <xdr:row>11</xdr:row>
                    <xdr:rowOff>9525</xdr:rowOff>
                  </from>
                  <to>
                    <xdr:col>16</xdr:col>
                    <xdr:colOff>9525</xdr:colOff>
                    <xdr:row>12</xdr:row>
                    <xdr:rowOff>38100</xdr:rowOff>
                  </to>
                </anchor>
              </controlPr>
            </control>
          </mc:Choice>
        </mc:AlternateContent>
        <mc:AlternateContent xmlns:mc="http://schemas.openxmlformats.org/markup-compatibility/2006">
          <mc:Choice Requires="x14">
            <control shapeId="33802" r:id="rId14" name="Group Box 10">
              <controlPr defaultSize="0" autoFill="0" autoPict="0">
                <anchor moveWithCells="1">
                  <from>
                    <xdr:col>5</xdr:col>
                    <xdr:colOff>85725</xdr:colOff>
                    <xdr:row>19</xdr:row>
                    <xdr:rowOff>19050</xdr:rowOff>
                  </from>
                  <to>
                    <xdr:col>24</xdr:col>
                    <xdr:colOff>133350</xdr:colOff>
                    <xdr:row>19</xdr:row>
                    <xdr:rowOff>304800</xdr:rowOff>
                  </to>
                </anchor>
              </controlPr>
            </control>
          </mc:Choice>
        </mc:AlternateContent>
        <mc:AlternateContent xmlns:mc="http://schemas.openxmlformats.org/markup-compatibility/2006">
          <mc:Choice Requires="x14">
            <control shapeId="33803" r:id="rId15" name="Group Box 11">
              <controlPr defaultSize="0" autoFill="0" autoPict="0">
                <anchor moveWithCells="1">
                  <from>
                    <xdr:col>5</xdr:col>
                    <xdr:colOff>123825</xdr:colOff>
                    <xdr:row>19</xdr:row>
                    <xdr:rowOff>285750</xdr:rowOff>
                  </from>
                  <to>
                    <xdr:col>37</xdr:col>
                    <xdr:colOff>247650</xdr:colOff>
                    <xdr:row>24</xdr:row>
                    <xdr:rowOff>152400</xdr:rowOff>
                  </to>
                </anchor>
              </controlPr>
            </control>
          </mc:Choice>
        </mc:AlternateContent>
        <mc:AlternateContent xmlns:mc="http://schemas.openxmlformats.org/markup-compatibility/2006">
          <mc:Choice Requires="x14">
            <control shapeId="33804" r:id="rId16" name="Option Button 12">
              <controlPr defaultSize="0" autoFill="0" autoLine="0" autoPict="0">
                <anchor moveWithCells="1">
                  <from>
                    <xdr:col>7</xdr:col>
                    <xdr:colOff>9525</xdr:colOff>
                    <xdr:row>20</xdr:row>
                    <xdr:rowOff>19050</xdr:rowOff>
                  </from>
                  <to>
                    <xdr:col>8</xdr:col>
                    <xdr:colOff>114300</xdr:colOff>
                    <xdr:row>21</xdr:row>
                    <xdr:rowOff>38100</xdr:rowOff>
                  </to>
                </anchor>
              </controlPr>
            </control>
          </mc:Choice>
        </mc:AlternateContent>
        <mc:AlternateContent xmlns:mc="http://schemas.openxmlformats.org/markup-compatibility/2006">
          <mc:Choice Requires="x14">
            <control shapeId="33805" r:id="rId17" name="Option Button 13">
              <controlPr defaultSize="0" autoFill="0" autoLine="0" autoPict="0">
                <anchor moveWithCells="1">
                  <from>
                    <xdr:col>11</xdr:col>
                    <xdr:colOff>9525</xdr:colOff>
                    <xdr:row>20</xdr:row>
                    <xdr:rowOff>19050</xdr:rowOff>
                  </from>
                  <to>
                    <xdr:col>12</xdr:col>
                    <xdr:colOff>114300</xdr:colOff>
                    <xdr:row>21</xdr:row>
                    <xdr:rowOff>38100</xdr:rowOff>
                  </to>
                </anchor>
              </controlPr>
            </control>
          </mc:Choice>
        </mc:AlternateContent>
        <mc:AlternateContent xmlns:mc="http://schemas.openxmlformats.org/markup-compatibility/2006">
          <mc:Choice Requires="x14">
            <control shapeId="33806" r:id="rId18" name="Group Box 14">
              <controlPr defaultSize="0" autoFill="0" autoPict="0">
                <anchor moveWithCells="1">
                  <from>
                    <xdr:col>5</xdr:col>
                    <xdr:colOff>123825</xdr:colOff>
                    <xdr:row>27</xdr:row>
                    <xdr:rowOff>190500</xdr:rowOff>
                  </from>
                  <to>
                    <xdr:col>25</xdr:col>
                    <xdr:colOff>190500</xdr:colOff>
                    <xdr:row>29</xdr:row>
                    <xdr:rowOff>19050</xdr:rowOff>
                  </to>
                </anchor>
              </controlPr>
            </control>
          </mc:Choice>
        </mc:AlternateContent>
        <mc:AlternateContent xmlns:mc="http://schemas.openxmlformats.org/markup-compatibility/2006">
          <mc:Choice Requires="x14">
            <control shapeId="33807" r:id="rId19" name="Option Button 15">
              <controlPr defaultSize="0" autoFill="0" autoLine="0" autoPict="0">
                <anchor moveWithCells="1">
                  <from>
                    <xdr:col>7</xdr:col>
                    <xdr:colOff>9525</xdr:colOff>
                    <xdr:row>30</xdr:row>
                    <xdr:rowOff>0</xdr:rowOff>
                  </from>
                  <to>
                    <xdr:col>8</xdr:col>
                    <xdr:colOff>114300</xdr:colOff>
                    <xdr:row>31</xdr:row>
                    <xdr:rowOff>9525</xdr:rowOff>
                  </to>
                </anchor>
              </controlPr>
            </control>
          </mc:Choice>
        </mc:AlternateContent>
        <mc:AlternateContent xmlns:mc="http://schemas.openxmlformats.org/markup-compatibility/2006">
          <mc:Choice Requires="x14">
            <control shapeId="33808" r:id="rId20" name="Group Box 16">
              <controlPr defaultSize="0" autoFill="0" autoPict="0">
                <anchor moveWithCells="1">
                  <from>
                    <xdr:col>5</xdr:col>
                    <xdr:colOff>133350</xdr:colOff>
                    <xdr:row>29</xdr:row>
                    <xdr:rowOff>0</xdr:rowOff>
                  </from>
                  <to>
                    <xdr:col>9</xdr:col>
                    <xdr:colOff>114300</xdr:colOff>
                    <xdr:row>31</xdr:row>
                    <xdr:rowOff>19050</xdr:rowOff>
                  </to>
                </anchor>
              </controlPr>
            </control>
          </mc:Choice>
        </mc:AlternateContent>
        <mc:AlternateContent xmlns:mc="http://schemas.openxmlformats.org/markup-compatibility/2006">
          <mc:Choice Requires="x14">
            <control shapeId="33809" r:id="rId21" name="Option Button 17">
              <controlPr defaultSize="0" autoFill="0" autoLine="0" autoPict="0">
                <anchor moveWithCells="1">
                  <from>
                    <xdr:col>7</xdr:col>
                    <xdr:colOff>9525</xdr:colOff>
                    <xdr:row>29</xdr:row>
                    <xdr:rowOff>9525</xdr:rowOff>
                  </from>
                  <to>
                    <xdr:col>8</xdr:col>
                    <xdr:colOff>114300</xdr:colOff>
                    <xdr:row>30</xdr:row>
                    <xdr:rowOff>19050</xdr:rowOff>
                  </to>
                </anchor>
              </controlPr>
            </control>
          </mc:Choice>
        </mc:AlternateContent>
        <mc:AlternateContent xmlns:mc="http://schemas.openxmlformats.org/markup-compatibility/2006">
          <mc:Choice Requires="x14">
            <control shapeId="33810" r:id="rId22" name="Option Button 18">
              <controlPr defaultSize="0" autoFill="0" autoLine="0" autoPict="0">
                <anchor moveWithCells="1">
                  <from>
                    <xdr:col>6</xdr:col>
                    <xdr:colOff>9525</xdr:colOff>
                    <xdr:row>31</xdr:row>
                    <xdr:rowOff>19050</xdr:rowOff>
                  </from>
                  <to>
                    <xdr:col>7</xdr:col>
                    <xdr:colOff>104775</xdr:colOff>
                    <xdr:row>31</xdr:row>
                    <xdr:rowOff>266700</xdr:rowOff>
                  </to>
                </anchor>
              </controlPr>
            </control>
          </mc:Choice>
        </mc:AlternateContent>
        <mc:AlternateContent xmlns:mc="http://schemas.openxmlformats.org/markup-compatibility/2006">
          <mc:Choice Requires="x14">
            <control shapeId="33811" r:id="rId23" name="Option Button 19">
              <controlPr defaultSize="0" autoFill="0" autoLine="0" autoPict="0">
                <anchor moveWithCells="1">
                  <from>
                    <xdr:col>16</xdr:col>
                    <xdr:colOff>9525</xdr:colOff>
                    <xdr:row>31</xdr:row>
                    <xdr:rowOff>19050</xdr:rowOff>
                  </from>
                  <to>
                    <xdr:col>17</xdr:col>
                    <xdr:colOff>104775</xdr:colOff>
                    <xdr:row>31</xdr:row>
                    <xdr:rowOff>266700</xdr:rowOff>
                  </to>
                </anchor>
              </controlPr>
            </control>
          </mc:Choice>
        </mc:AlternateContent>
        <mc:AlternateContent xmlns:mc="http://schemas.openxmlformats.org/markup-compatibility/2006">
          <mc:Choice Requires="x14">
            <control shapeId="33812" r:id="rId24" name="Option Button 20">
              <controlPr defaultSize="0" autoFill="0" autoLine="0" autoPict="0">
                <anchor moveWithCells="1">
                  <from>
                    <xdr:col>22</xdr:col>
                    <xdr:colOff>9525</xdr:colOff>
                    <xdr:row>31</xdr:row>
                    <xdr:rowOff>19050</xdr:rowOff>
                  </from>
                  <to>
                    <xdr:col>23</xdr:col>
                    <xdr:colOff>104775</xdr:colOff>
                    <xdr:row>31</xdr:row>
                    <xdr:rowOff>266700</xdr:rowOff>
                  </to>
                </anchor>
              </controlPr>
            </control>
          </mc:Choice>
        </mc:AlternateContent>
        <mc:AlternateContent xmlns:mc="http://schemas.openxmlformats.org/markup-compatibility/2006">
          <mc:Choice Requires="x14">
            <control shapeId="33813" r:id="rId25" name="Group Box 21">
              <controlPr defaultSize="0" autoFill="0" autoPict="0">
                <anchor moveWithCells="1">
                  <from>
                    <xdr:col>5</xdr:col>
                    <xdr:colOff>95250</xdr:colOff>
                    <xdr:row>31</xdr:row>
                    <xdr:rowOff>9525</xdr:rowOff>
                  </from>
                  <to>
                    <xdr:col>28</xdr:col>
                    <xdr:colOff>142875</xdr:colOff>
                    <xdr:row>32</xdr:row>
                    <xdr:rowOff>0</xdr:rowOff>
                  </to>
                </anchor>
              </controlPr>
            </control>
          </mc:Choice>
        </mc:AlternateContent>
        <mc:AlternateContent xmlns:mc="http://schemas.openxmlformats.org/markup-compatibility/2006">
          <mc:Choice Requires="x14">
            <control shapeId="33814" r:id="rId26" name="Check Box 22">
              <controlPr defaultSize="0" autoFill="0" autoLine="0" autoPict="0">
                <anchor moveWithCells="1">
                  <from>
                    <xdr:col>9</xdr:col>
                    <xdr:colOff>190500</xdr:colOff>
                    <xdr:row>31</xdr:row>
                    <xdr:rowOff>28575</xdr:rowOff>
                  </from>
                  <to>
                    <xdr:col>11</xdr:col>
                    <xdr:colOff>104775</xdr:colOff>
                    <xdr:row>31</xdr:row>
                    <xdr:rowOff>276225</xdr:rowOff>
                  </to>
                </anchor>
              </controlPr>
            </control>
          </mc:Choice>
        </mc:AlternateContent>
        <mc:AlternateContent xmlns:mc="http://schemas.openxmlformats.org/markup-compatibility/2006">
          <mc:Choice Requires="x14">
            <control shapeId="33815" r:id="rId27" name="Option Button 23">
              <controlPr defaultSize="0" autoFill="0" autoLine="0" autoPict="0">
                <anchor moveWithCells="1">
                  <from>
                    <xdr:col>6</xdr:col>
                    <xdr:colOff>19050</xdr:colOff>
                    <xdr:row>33</xdr:row>
                    <xdr:rowOff>28575</xdr:rowOff>
                  </from>
                  <to>
                    <xdr:col>7</xdr:col>
                    <xdr:colOff>38100</xdr:colOff>
                    <xdr:row>33</xdr:row>
                    <xdr:rowOff>276225</xdr:rowOff>
                  </to>
                </anchor>
              </controlPr>
            </control>
          </mc:Choice>
        </mc:AlternateContent>
        <mc:AlternateContent xmlns:mc="http://schemas.openxmlformats.org/markup-compatibility/2006">
          <mc:Choice Requires="x14">
            <control shapeId="33816" r:id="rId28" name="Option Button 24">
              <controlPr defaultSize="0" autoFill="0" autoLine="0" autoPict="0">
                <anchor moveWithCells="1">
                  <from>
                    <xdr:col>9</xdr:col>
                    <xdr:colOff>19050</xdr:colOff>
                    <xdr:row>33</xdr:row>
                    <xdr:rowOff>28575</xdr:rowOff>
                  </from>
                  <to>
                    <xdr:col>10</xdr:col>
                    <xdr:colOff>38100</xdr:colOff>
                    <xdr:row>33</xdr:row>
                    <xdr:rowOff>276225</xdr:rowOff>
                  </to>
                </anchor>
              </controlPr>
            </control>
          </mc:Choice>
        </mc:AlternateContent>
        <mc:AlternateContent xmlns:mc="http://schemas.openxmlformats.org/markup-compatibility/2006">
          <mc:Choice Requires="x14">
            <control shapeId="33817" r:id="rId29" name="Group Box 25">
              <controlPr defaultSize="0" autoFill="0" autoPict="0">
                <anchor moveWithCells="1">
                  <from>
                    <xdr:col>5</xdr:col>
                    <xdr:colOff>85725</xdr:colOff>
                    <xdr:row>32</xdr:row>
                    <xdr:rowOff>190500</xdr:rowOff>
                  </from>
                  <to>
                    <xdr:col>12</xdr:col>
                    <xdr:colOff>85725</xdr:colOff>
                    <xdr:row>34</xdr:row>
                    <xdr:rowOff>76200</xdr:rowOff>
                  </to>
                </anchor>
              </controlPr>
            </control>
          </mc:Choice>
        </mc:AlternateContent>
        <mc:AlternateContent xmlns:mc="http://schemas.openxmlformats.org/markup-compatibility/2006">
          <mc:Choice Requires="x14">
            <control shapeId="33818" r:id="rId30" name="Option Button 26">
              <controlPr defaultSize="0" autoFill="0" autoLine="0" autoPict="0">
                <anchor moveWithCells="1">
                  <from>
                    <xdr:col>17</xdr:col>
                    <xdr:colOff>9525</xdr:colOff>
                    <xdr:row>20</xdr:row>
                    <xdr:rowOff>19050</xdr:rowOff>
                  </from>
                  <to>
                    <xdr:col>18</xdr:col>
                    <xdr:colOff>114300</xdr:colOff>
                    <xdr:row>21</xdr:row>
                    <xdr:rowOff>38100</xdr:rowOff>
                  </to>
                </anchor>
              </controlPr>
            </control>
          </mc:Choice>
        </mc:AlternateContent>
        <mc:AlternateContent xmlns:mc="http://schemas.openxmlformats.org/markup-compatibility/2006">
          <mc:Choice Requires="x14">
            <control shapeId="33819" r:id="rId31" name="Option Button 27">
              <controlPr defaultSize="0" autoFill="0" autoLine="0" autoPict="0">
                <anchor moveWithCells="1">
                  <from>
                    <xdr:col>21</xdr:col>
                    <xdr:colOff>9525</xdr:colOff>
                    <xdr:row>20</xdr:row>
                    <xdr:rowOff>19050</xdr:rowOff>
                  </from>
                  <to>
                    <xdr:col>22</xdr:col>
                    <xdr:colOff>114300</xdr:colOff>
                    <xdr:row>21</xdr:row>
                    <xdr:rowOff>38100</xdr:rowOff>
                  </to>
                </anchor>
              </controlPr>
            </control>
          </mc:Choice>
        </mc:AlternateContent>
        <mc:AlternateContent xmlns:mc="http://schemas.openxmlformats.org/markup-compatibility/2006">
          <mc:Choice Requires="x14">
            <control shapeId="33820" r:id="rId32" name="Option Button 28">
              <controlPr defaultSize="0" autoFill="0" autoLine="0" autoPict="0">
                <anchor moveWithCells="1">
                  <from>
                    <xdr:col>25</xdr:col>
                    <xdr:colOff>9525</xdr:colOff>
                    <xdr:row>20</xdr:row>
                    <xdr:rowOff>19050</xdr:rowOff>
                  </from>
                  <to>
                    <xdr:col>26</xdr:col>
                    <xdr:colOff>114300</xdr:colOff>
                    <xdr:row>21</xdr:row>
                    <xdr:rowOff>38100</xdr:rowOff>
                  </to>
                </anchor>
              </controlPr>
            </control>
          </mc:Choice>
        </mc:AlternateContent>
        <mc:AlternateContent xmlns:mc="http://schemas.openxmlformats.org/markup-compatibility/2006">
          <mc:Choice Requires="x14">
            <control shapeId="33821" r:id="rId33" name="Option Button 29">
              <controlPr defaultSize="0" autoFill="0" autoLine="0" autoPict="0">
                <anchor moveWithCells="1">
                  <from>
                    <xdr:col>29</xdr:col>
                    <xdr:colOff>9525</xdr:colOff>
                    <xdr:row>20</xdr:row>
                    <xdr:rowOff>19050</xdr:rowOff>
                  </from>
                  <to>
                    <xdr:col>30</xdr:col>
                    <xdr:colOff>114300</xdr:colOff>
                    <xdr:row>21</xdr:row>
                    <xdr:rowOff>38100</xdr:rowOff>
                  </to>
                </anchor>
              </controlPr>
            </control>
          </mc:Choice>
        </mc:AlternateContent>
        <mc:AlternateContent xmlns:mc="http://schemas.openxmlformats.org/markup-compatibility/2006">
          <mc:Choice Requires="x14">
            <control shapeId="33822" r:id="rId34" name="Option Button 30">
              <controlPr defaultSize="0" autoFill="0" autoLine="0" autoPict="0">
                <anchor moveWithCells="1">
                  <from>
                    <xdr:col>33</xdr:col>
                    <xdr:colOff>9525</xdr:colOff>
                    <xdr:row>20</xdr:row>
                    <xdr:rowOff>19050</xdr:rowOff>
                  </from>
                  <to>
                    <xdr:col>34</xdr:col>
                    <xdr:colOff>114300</xdr:colOff>
                    <xdr:row>21</xdr:row>
                    <xdr:rowOff>38100</xdr:rowOff>
                  </to>
                </anchor>
              </controlPr>
            </control>
          </mc:Choice>
        </mc:AlternateContent>
        <mc:AlternateContent xmlns:mc="http://schemas.openxmlformats.org/markup-compatibility/2006">
          <mc:Choice Requires="x14">
            <control shapeId="33823" r:id="rId35" name="Option Button 31">
              <controlPr defaultSize="0" autoFill="0" autoLine="0" autoPict="0">
                <anchor moveWithCells="1">
                  <from>
                    <xdr:col>7</xdr:col>
                    <xdr:colOff>9525</xdr:colOff>
                    <xdr:row>21</xdr:row>
                    <xdr:rowOff>19050</xdr:rowOff>
                  </from>
                  <to>
                    <xdr:col>8</xdr:col>
                    <xdr:colOff>114300</xdr:colOff>
                    <xdr:row>22</xdr:row>
                    <xdr:rowOff>38100</xdr:rowOff>
                  </to>
                </anchor>
              </controlPr>
            </control>
          </mc:Choice>
        </mc:AlternateContent>
        <mc:AlternateContent xmlns:mc="http://schemas.openxmlformats.org/markup-compatibility/2006">
          <mc:Choice Requires="x14">
            <control shapeId="33824" r:id="rId36" name="Option Button 32">
              <controlPr defaultSize="0" autoFill="0" autoLine="0" autoPict="0">
                <anchor moveWithCells="1">
                  <from>
                    <xdr:col>12</xdr:col>
                    <xdr:colOff>9525</xdr:colOff>
                    <xdr:row>21</xdr:row>
                    <xdr:rowOff>19050</xdr:rowOff>
                  </from>
                  <to>
                    <xdr:col>13</xdr:col>
                    <xdr:colOff>114300</xdr:colOff>
                    <xdr:row>22</xdr:row>
                    <xdr:rowOff>38100</xdr:rowOff>
                  </to>
                </anchor>
              </controlPr>
            </control>
          </mc:Choice>
        </mc:AlternateContent>
        <mc:AlternateContent xmlns:mc="http://schemas.openxmlformats.org/markup-compatibility/2006">
          <mc:Choice Requires="x14">
            <control shapeId="33825" r:id="rId37" name="Option Button 33">
              <controlPr defaultSize="0" autoFill="0" autoLine="0" autoPict="0">
                <anchor moveWithCells="1">
                  <from>
                    <xdr:col>7</xdr:col>
                    <xdr:colOff>9525</xdr:colOff>
                    <xdr:row>22</xdr:row>
                    <xdr:rowOff>19050</xdr:rowOff>
                  </from>
                  <to>
                    <xdr:col>8</xdr:col>
                    <xdr:colOff>114300</xdr:colOff>
                    <xdr:row>23</xdr:row>
                    <xdr:rowOff>38100</xdr:rowOff>
                  </to>
                </anchor>
              </controlPr>
            </control>
          </mc:Choice>
        </mc:AlternateContent>
        <mc:AlternateContent xmlns:mc="http://schemas.openxmlformats.org/markup-compatibility/2006">
          <mc:Choice Requires="x14">
            <control shapeId="33826" r:id="rId38" name="Option Button 34">
              <controlPr defaultSize="0" autoFill="0" autoLine="0" autoPict="0">
                <anchor moveWithCells="1">
                  <from>
                    <xdr:col>13</xdr:col>
                    <xdr:colOff>9525</xdr:colOff>
                    <xdr:row>22</xdr:row>
                    <xdr:rowOff>19050</xdr:rowOff>
                  </from>
                  <to>
                    <xdr:col>14</xdr:col>
                    <xdr:colOff>114300</xdr:colOff>
                    <xdr:row>23</xdr:row>
                    <xdr:rowOff>38100</xdr:rowOff>
                  </to>
                </anchor>
              </controlPr>
            </control>
          </mc:Choice>
        </mc:AlternateContent>
        <mc:AlternateContent xmlns:mc="http://schemas.openxmlformats.org/markup-compatibility/2006">
          <mc:Choice Requires="x14">
            <control shapeId="33827" r:id="rId39" name="Option Button 35">
              <controlPr defaultSize="0" autoFill="0" autoLine="0" autoPict="0">
                <anchor moveWithCells="1">
                  <from>
                    <xdr:col>19</xdr:col>
                    <xdr:colOff>9525</xdr:colOff>
                    <xdr:row>22</xdr:row>
                    <xdr:rowOff>19050</xdr:rowOff>
                  </from>
                  <to>
                    <xdr:col>20</xdr:col>
                    <xdr:colOff>114300</xdr:colOff>
                    <xdr:row>23</xdr:row>
                    <xdr:rowOff>38100</xdr:rowOff>
                  </to>
                </anchor>
              </controlPr>
            </control>
          </mc:Choice>
        </mc:AlternateContent>
        <mc:AlternateContent xmlns:mc="http://schemas.openxmlformats.org/markup-compatibility/2006">
          <mc:Choice Requires="x14">
            <control shapeId="33828" r:id="rId40" name="Option Button 36">
              <controlPr defaultSize="0" autoFill="0" autoLine="0" autoPict="0">
                <anchor moveWithCells="1">
                  <from>
                    <xdr:col>26</xdr:col>
                    <xdr:colOff>9525</xdr:colOff>
                    <xdr:row>22</xdr:row>
                    <xdr:rowOff>19050</xdr:rowOff>
                  </from>
                  <to>
                    <xdr:col>27</xdr:col>
                    <xdr:colOff>114300</xdr:colOff>
                    <xdr:row>23</xdr:row>
                    <xdr:rowOff>38100</xdr:rowOff>
                  </to>
                </anchor>
              </controlPr>
            </control>
          </mc:Choice>
        </mc:AlternateContent>
        <mc:AlternateContent xmlns:mc="http://schemas.openxmlformats.org/markup-compatibility/2006">
          <mc:Choice Requires="x14">
            <control shapeId="33829" r:id="rId41" name="Option Button 37">
              <controlPr defaultSize="0" autoFill="0" autoLine="0" autoPict="0">
                <anchor moveWithCells="1">
                  <from>
                    <xdr:col>32</xdr:col>
                    <xdr:colOff>9525</xdr:colOff>
                    <xdr:row>22</xdr:row>
                    <xdr:rowOff>19050</xdr:rowOff>
                  </from>
                  <to>
                    <xdr:col>33</xdr:col>
                    <xdr:colOff>104775</xdr:colOff>
                    <xdr:row>23</xdr:row>
                    <xdr:rowOff>38100</xdr:rowOff>
                  </to>
                </anchor>
              </controlPr>
            </control>
          </mc:Choice>
        </mc:AlternateContent>
        <mc:AlternateContent xmlns:mc="http://schemas.openxmlformats.org/markup-compatibility/2006">
          <mc:Choice Requires="x14">
            <control shapeId="33830" r:id="rId42" name="Option Button 38">
              <controlPr defaultSize="0" autoFill="0" autoLine="0" autoPict="0">
                <anchor moveWithCells="1">
                  <from>
                    <xdr:col>7</xdr:col>
                    <xdr:colOff>9525</xdr:colOff>
                    <xdr:row>23</xdr:row>
                    <xdr:rowOff>19050</xdr:rowOff>
                  </from>
                  <to>
                    <xdr:col>8</xdr:col>
                    <xdr:colOff>114300</xdr:colOff>
                    <xdr:row>24</xdr:row>
                    <xdr:rowOff>38100</xdr:rowOff>
                  </to>
                </anchor>
              </controlPr>
            </control>
          </mc:Choice>
        </mc:AlternateContent>
        <mc:AlternateContent xmlns:mc="http://schemas.openxmlformats.org/markup-compatibility/2006">
          <mc:Choice Requires="x14">
            <control shapeId="33831" r:id="rId43" name="Option Button 39">
              <controlPr defaultSize="0" autoFill="0" autoLine="0" autoPict="0">
                <anchor moveWithCells="1">
                  <from>
                    <xdr:col>12</xdr:col>
                    <xdr:colOff>9525</xdr:colOff>
                    <xdr:row>23</xdr:row>
                    <xdr:rowOff>19050</xdr:rowOff>
                  </from>
                  <to>
                    <xdr:col>13</xdr:col>
                    <xdr:colOff>114300</xdr:colOff>
                    <xdr:row>24</xdr:row>
                    <xdr:rowOff>38100</xdr:rowOff>
                  </to>
                </anchor>
              </controlPr>
            </control>
          </mc:Choice>
        </mc:AlternateContent>
        <mc:AlternateContent xmlns:mc="http://schemas.openxmlformats.org/markup-compatibility/2006">
          <mc:Choice Requires="x14">
            <control shapeId="33832" r:id="rId44" name="Option Button 40">
              <controlPr defaultSize="0" autoFill="0" autoLine="0" autoPict="0">
                <anchor moveWithCells="1">
                  <from>
                    <xdr:col>17</xdr:col>
                    <xdr:colOff>9525</xdr:colOff>
                    <xdr:row>23</xdr:row>
                    <xdr:rowOff>19050</xdr:rowOff>
                  </from>
                  <to>
                    <xdr:col>18</xdr:col>
                    <xdr:colOff>114300</xdr:colOff>
                    <xdr:row>24</xdr:row>
                    <xdr:rowOff>38100</xdr:rowOff>
                  </to>
                </anchor>
              </controlPr>
            </control>
          </mc:Choice>
        </mc:AlternateContent>
        <mc:AlternateContent xmlns:mc="http://schemas.openxmlformats.org/markup-compatibility/2006">
          <mc:Choice Requires="x14">
            <control shapeId="33833" r:id="rId45" name="Option Button 41">
              <controlPr defaultSize="0" autoFill="0" autoLine="0" autoPict="0">
                <anchor moveWithCells="1">
                  <from>
                    <xdr:col>14</xdr:col>
                    <xdr:colOff>9525</xdr:colOff>
                    <xdr:row>25</xdr:row>
                    <xdr:rowOff>0</xdr:rowOff>
                  </from>
                  <to>
                    <xdr:col>15</xdr:col>
                    <xdr:colOff>57150</xdr:colOff>
                    <xdr:row>26</xdr:row>
                    <xdr:rowOff>9525</xdr:rowOff>
                  </to>
                </anchor>
              </controlPr>
            </control>
          </mc:Choice>
        </mc:AlternateContent>
        <mc:AlternateContent xmlns:mc="http://schemas.openxmlformats.org/markup-compatibility/2006">
          <mc:Choice Requires="x14">
            <control shapeId="33834" r:id="rId46" name="Option Button 42">
              <controlPr defaultSize="0" autoFill="0" autoLine="0" autoPict="0">
                <anchor moveWithCells="1">
                  <from>
                    <xdr:col>17</xdr:col>
                    <xdr:colOff>9525</xdr:colOff>
                    <xdr:row>25</xdr:row>
                    <xdr:rowOff>0</xdr:rowOff>
                  </from>
                  <to>
                    <xdr:col>18</xdr:col>
                    <xdr:colOff>57150</xdr:colOff>
                    <xdr:row>26</xdr:row>
                    <xdr:rowOff>9525</xdr:rowOff>
                  </to>
                </anchor>
              </controlPr>
            </control>
          </mc:Choice>
        </mc:AlternateContent>
        <mc:AlternateContent xmlns:mc="http://schemas.openxmlformats.org/markup-compatibility/2006">
          <mc:Choice Requires="x14">
            <control shapeId="33835" r:id="rId47" name="Option Button 43">
              <controlPr defaultSize="0" autoFill="0" autoLine="0" autoPict="0">
                <anchor moveWithCells="1">
                  <from>
                    <xdr:col>21</xdr:col>
                    <xdr:colOff>9525</xdr:colOff>
                    <xdr:row>25</xdr:row>
                    <xdr:rowOff>0</xdr:rowOff>
                  </from>
                  <to>
                    <xdr:col>22</xdr:col>
                    <xdr:colOff>57150</xdr:colOff>
                    <xdr:row>26</xdr:row>
                    <xdr:rowOff>9525</xdr:rowOff>
                  </to>
                </anchor>
              </controlPr>
            </control>
          </mc:Choice>
        </mc:AlternateContent>
        <mc:AlternateContent xmlns:mc="http://schemas.openxmlformats.org/markup-compatibility/2006">
          <mc:Choice Requires="x14">
            <control shapeId="33836" r:id="rId48" name="Option Button 44">
              <controlPr defaultSize="0" autoFill="0" autoLine="0" autoPict="0">
                <anchor moveWithCells="1">
                  <from>
                    <xdr:col>24</xdr:col>
                    <xdr:colOff>9525</xdr:colOff>
                    <xdr:row>25</xdr:row>
                    <xdr:rowOff>0</xdr:rowOff>
                  </from>
                  <to>
                    <xdr:col>25</xdr:col>
                    <xdr:colOff>57150</xdr:colOff>
                    <xdr:row>26</xdr:row>
                    <xdr:rowOff>9525</xdr:rowOff>
                  </to>
                </anchor>
              </controlPr>
            </control>
          </mc:Choice>
        </mc:AlternateContent>
        <mc:AlternateContent xmlns:mc="http://schemas.openxmlformats.org/markup-compatibility/2006">
          <mc:Choice Requires="x14">
            <control shapeId="33837" r:id="rId49" name="Group Box 45">
              <controlPr defaultSize="0" autoFill="0" autoPict="0">
                <anchor moveWithCells="1">
                  <from>
                    <xdr:col>13</xdr:col>
                    <xdr:colOff>161925</xdr:colOff>
                    <xdr:row>24</xdr:row>
                    <xdr:rowOff>95250</xdr:rowOff>
                  </from>
                  <to>
                    <xdr:col>26</xdr:col>
                    <xdr:colOff>38100</xdr:colOff>
                    <xdr:row>26</xdr:row>
                    <xdr:rowOff>47625</xdr:rowOff>
                  </to>
                </anchor>
              </controlPr>
            </control>
          </mc:Choice>
        </mc:AlternateContent>
        <mc:AlternateContent xmlns:mc="http://schemas.openxmlformats.org/markup-compatibility/2006">
          <mc:Choice Requires="x14">
            <control shapeId="33838" r:id="rId50" name="Option Button 46">
              <controlPr defaultSize="0" autoFill="0" autoLine="0" autoPict="0">
                <anchor moveWithCells="1">
                  <from>
                    <xdr:col>7</xdr:col>
                    <xdr:colOff>9525</xdr:colOff>
                    <xdr:row>26</xdr:row>
                    <xdr:rowOff>0</xdr:rowOff>
                  </from>
                  <to>
                    <xdr:col>8</xdr:col>
                    <xdr:colOff>38100</xdr:colOff>
                    <xdr:row>27</xdr:row>
                    <xdr:rowOff>0</xdr:rowOff>
                  </to>
                </anchor>
              </controlPr>
            </control>
          </mc:Choice>
        </mc:AlternateContent>
        <mc:AlternateContent xmlns:mc="http://schemas.openxmlformats.org/markup-compatibility/2006">
          <mc:Choice Requires="x14">
            <control shapeId="33839" r:id="rId51" name="Option Button 47">
              <controlPr defaultSize="0" autoFill="0" autoLine="0" autoPict="0">
                <anchor moveWithCells="1">
                  <from>
                    <xdr:col>7</xdr:col>
                    <xdr:colOff>9525</xdr:colOff>
                    <xdr:row>27</xdr:row>
                    <xdr:rowOff>0</xdr:rowOff>
                  </from>
                  <to>
                    <xdr:col>8</xdr:col>
                    <xdr:colOff>38100</xdr:colOff>
                    <xdr:row>28</xdr:row>
                    <xdr:rowOff>0</xdr:rowOff>
                  </to>
                </anchor>
              </controlPr>
            </control>
          </mc:Choice>
        </mc:AlternateContent>
        <mc:AlternateContent xmlns:mc="http://schemas.openxmlformats.org/markup-compatibility/2006">
          <mc:Choice Requires="x14">
            <control shapeId="33840" r:id="rId52" name="Group Box 48">
              <controlPr defaultSize="0" autoFill="0" autoPict="0">
                <anchor moveWithCells="1">
                  <from>
                    <xdr:col>6</xdr:col>
                    <xdr:colOff>123825</xdr:colOff>
                    <xdr:row>25</xdr:row>
                    <xdr:rowOff>219075</xdr:rowOff>
                  </from>
                  <to>
                    <xdr:col>8</xdr:col>
                    <xdr:colOff>104775</xdr:colOff>
                    <xdr:row>28</xdr:row>
                    <xdr:rowOff>9525</xdr:rowOff>
                  </to>
                </anchor>
              </controlPr>
            </control>
          </mc:Choice>
        </mc:AlternateContent>
        <mc:AlternateContent xmlns:mc="http://schemas.openxmlformats.org/markup-compatibility/2006">
          <mc:Choice Requires="x14">
            <control shapeId="33841" r:id="rId53" name="Option Button 49">
              <controlPr defaultSize="0" autoFill="0" autoLine="0" autoPict="0">
                <anchor moveWithCells="1">
                  <from>
                    <xdr:col>5</xdr:col>
                    <xdr:colOff>190500</xdr:colOff>
                    <xdr:row>4</xdr:row>
                    <xdr:rowOff>19050</xdr:rowOff>
                  </from>
                  <to>
                    <xdr:col>7</xdr:col>
                    <xdr:colOff>123825</xdr:colOff>
                    <xdr:row>5</xdr:row>
                    <xdr:rowOff>0</xdr:rowOff>
                  </to>
                </anchor>
              </controlPr>
            </control>
          </mc:Choice>
        </mc:AlternateContent>
        <mc:AlternateContent xmlns:mc="http://schemas.openxmlformats.org/markup-compatibility/2006">
          <mc:Choice Requires="x14">
            <control shapeId="33842" r:id="rId54" name="Option Button 50">
              <controlPr defaultSize="0" autoFill="0" autoLine="0" autoPict="0">
                <anchor moveWithCells="1">
                  <from>
                    <xdr:col>12</xdr:col>
                    <xdr:colOff>180975</xdr:colOff>
                    <xdr:row>4</xdr:row>
                    <xdr:rowOff>0</xdr:rowOff>
                  </from>
                  <to>
                    <xdr:col>14</xdr:col>
                    <xdr:colOff>114300</xdr:colOff>
                    <xdr:row>4</xdr:row>
                    <xdr:rowOff>200025</xdr:rowOff>
                  </to>
                </anchor>
              </controlPr>
            </control>
          </mc:Choice>
        </mc:AlternateContent>
        <mc:AlternateContent xmlns:mc="http://schemas.openxmlformats.org/markup-compatibility/2006">
          <mc:Choice Requires="x14">
            <control shapeId="33843" r:id="rId55" name="Option Button 51">
              <controlPr defaultSize="0" autoFill="0" autoLine="0" autoPict="0">
                <anchor moveWithCells="1">
                  <from>
                    <xdr:col>19</xdr:col>
                    <xdr:colOff>180975</xdr:colOff>
                    <xdr:row>4</xdr:row>
                    <xdr:rowOff>0</xdr:rowOff>
                  </from>
                  <to>
                    <xdr:col>21</xdr:col>
                    <xdr:colOff>114300</xdr:colOff>
                    <xdr:row>5</xdr:row>
                    <xdr:rowOff>0</xdr:rowOff>
                  </to>
                </anchor>
              </controlPr>
            </control>
          </mc:Choice>
        </mc:AlternateContent>
        <mc:AlternateContent xmlns:mc="http://schemas.openxmlformats.org/markup-compatibility/2006">
          <mc:Choice Requires="x14">
            <control shapeId="33844" r:id="rId56" name="Group Box 52">
              <controlPr defaultSize="0" autoFill="0" autoPict="0">
                <anchor moveWithCells="1">
                  <from>
                    <xdr:col>5</xdr:col>
                    <xdr:colOff>19050</xdr:colOff>
                    <xdr:row>3</xdr:row>
                    <xdr:rowOff>266700</xdr:rowOff>
                  </from>
                  <to>
                    <xdr:col>26</xdr:col>
                    <xdr:colOff>76200</xdr:colOff>
                    <xdr:row>5</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344548B3-1EF1-4434-9909-3AD47583BF6A}">
            <xm:f>謝金・旅費実施伺!$Q$38&lt;&gt;""</xm:f>
            <x14:dxf>
              <fill>
                <patternFill patternType="none">
                  <bgColor auto="1"/>
                </patternFill>
              </fill>
            </x14:dxf>
          </x14:cfRule>
          <x14:cfRule type="expression" priority="2" id="{18DE6B81-0942-48D0-97E4-65F0341FE5DD}">
            <xm:f>謝金・旅費実施伺!$AM$22=14</xm:f>
            <x14:dxf>
              <fill>
                <patternFill>
                  <bgColor rgb="FFA3FFEC"/>
                </patternFill>
              </fill>
            </x14:dxf>
          </x14:cfRule>
          <xm:sqref>Q37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41f8599-2caa-4da6-a5b0-7d6ff7a9f30b" xsi:nil="true"/>
    <lcf76f155ced4ddcb4097134ff3c332f xmlns="cebf745d-e51e-41ef-a1f1-27fce0363cfd">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8F946816FFA87146BE6EDC5DF7A85DF5" ma:contentTypeVersion="19" ma:contentTypeDescription="新しいドキュメントを作成します。" ma:contentTypeScope="" ma:versionID="c9f4c47ddb9a0204b51005df35382510">
  <xsd:schema xmlns:xsd="http://www.w3.org/2001/XMLSchema" xmlns:xs="http://www.w3.org/2001/XMLSchema" xmlns:p="http://schemas.microsoft.com/office/2006/metadata/properties" xmlns:ns2="cebf745d-e51e-41ef-a1f1-27fce0363cfd" xmlns:ns3="741f8599-2caa-4da6-a5b0-7d6ff7a9f30b" targetNamespace="http://schemas.microsoft.com/office/2006/metadata/properties" ma:root="true" ma:fieldsID="b5f38f4bcbf35a02bb1b2cc2046641ea" ns2:_="" ns3:_="">
    <xsd:import namespace="cebf745d-e51e-41ef-a1f1-27fce0363cfd"/>
    <xsd:import namespace="741f8599-2caa-4da6-a5b0-7d6ff7a9f30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bf745d-e51e-41ef-a1f1-27fce0363cf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画像タグ" ma:readOnly="false" ma:fieldId="{5cf76f15-5ced-4ddc-b409-7134ff3c332f}" ma:taxonomyMulti="true" ma:sspId="2f566ec5-32a6-4ec1-8c14-5dab5ced459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41f8599-2caa-4da6-a5b0-7d6ff7a9f30b" elementFormDefault="qualified">
    <xsd:import namespace="http://schemas.microsoft.com/office/2006/documentManagement/types"/>
    <xsd:import namespace="http://schemas.microsoft.com/office/infopath/2007/PartnerControls"/>
    <xsd:element name="SharedWithUsers" ma:index="19"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共有相手の詳細情報" ma:internalName="SharedWithDetails" ma:readOnly="true">
      <xsd:simpleType>
        <xsd:restriction base="dms:Note">
          <xsd:maxLength value="255"/>
        </xsd:restriction>
      </xsd:simpleType>
    </xsd:element>
    <xsd:element name="TaxCatchAll" ma:index="23" nillable="true" ma:displayName="Taxonomy Catch All Column" ma:hidden="true" ma:list="{e57c12da-7d1a-44d4-9492-79e4bb60a171}" ma:internalName="TaxCatchAll" ma:showField="CatchAllData" ma:web="741f8599-2caa-4da6-a5b0-7d6ff7a9f30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6B8C91-028C-47B5-AED4-B2C4361FC632}">
  <ds:schemaRefs>
    <ds:schemaRef ds:uri="http://schemas.microsoft.com/office/2006/metadata/properties"/>
    <ds:schemaRef ds:uri="http://schemas.microsoft.com/office/2006/documentManagement/types"/>
    <ds:schemaRef ds:uri="http://purl.org/dc/terms/"/>
    <ds:schemaRef ds:uri="http://schemas.microsoft.com/office/infopath/2007/PartnerControls"/>
    <ds:schemaRef ds:uri="http://purl.org/dc/dcmitype/"/>
    <ds:schemaRef ds:uri="http://www.w3.org/XML/1998/namespace"/>
    <ds:schemaRef ds:uri="http://schemas.openxmlformats.org/package/2006/metadata/core-properties"/>
    <ds:schemaRef ds:uri="f1ccd5da-7a8e-4f8e-b8ca-2efd80ca62c5"/>
    <ds:schemaRef ds:uri="fb0c71bd-28a2-4b9a-b55a-ffeb63234344"/>
    <ds:schemaRef ds:uri="http://purl.org/dc/elements/1.1/"/>
  </ds:schemaRefs>
</ds:datastoreItem>
</file>

<file path=customXml/itemProps2.xml><?xml version="1.0" encoding="utf-8"?>
<ds:datastoreItem xmlns:ds="http://schemas.openxmlformats.org/officeDocument/2006/customXml" ds:itemID="{B14D6766-0F2A-40C5-B0A6-2913543C16E6}"/>
</file>

<file path=customXml/itemProps3.xml><?xml version="1.0" encoding="utf-8"?>
<ds:datastoreItem xmlns:ds="http://schemas.openxmlformats.org/officeDocument/2006/customXml" ds:itemID="{2DEC2FC3-50E1-4270-9865-A84997B73C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謝金・旅費実施伺</vt:lpstr>
      <vt:lpstr>謝金単価表</vt:lpstr>
      <vt:lpstr>DB（変更しない）</vt:lpstr>
      <vt:lpstr>【記入例】謝金のみ</vt:lpstr>
      <vt:lpstr>【記入例】謝金＋旅費</vt:lpstr>
      <vt:lpstr>'【記入例】謝金＋旅費'!Print_Area</vt:lpstr>
      <vt:lpstr>【記入例】謝金のみ!Print_Area</vt:lpstr>
      <vt:lpstr>謝金・旅費実施伺!Print_Area</vt:lpstr>
    </vt:vector>
  </TitlesOfParts>
  <Manager/>
  <Company>筑波大学</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morita.minori.fu</dc:creator>
  <cp:keywords/>
  <dc:description/>
  <cp:lastModifiedBy>佐藤　真実</cp:lastModifiedBy>
  <cp:revision/>
  <dcterms:created xsi:type="dcterms:W3CDTF">2010-11-05T07:00:04Z</dcterms:created>
  <dcterms:modified xsi:type="dcterms:W3CDTF">2026-05-12T00:33:32Z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0x0101008F946816FFA87146BE6EDC5DF7A85DF5</vt:lpwstr>
  </property>
  <property fmtid="{D5CDD505-2E9C-101B-9397-08002B2CF9AE}" pid="3" name="MediaServiceImageTags">
    <vt:lpwstr/>
  </property>
</Properties>
</file>